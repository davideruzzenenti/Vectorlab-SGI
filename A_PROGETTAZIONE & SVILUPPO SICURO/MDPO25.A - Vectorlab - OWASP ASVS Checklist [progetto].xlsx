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nextage08-my.sharepoint.com/personal/rosalba_campolo_nextage08_onmicrosoft_com/Documents/Documenti/CLIENTI/Vectorlab/"/>
    </mc:Choice>
  </mc:AlternateContent>
  <xr:revisionPtr revIDLastSave="25" documentId="11_44C3C36CFBB311CDB8B8FE677E5E5329C155C172" xr6:coauthVersionLast="47" xr6:coauthVersionMax="47" xr10:uidLastSave="{BDC7DA65-A873-4C47-8706-FE6A67921FE1}"/>
  <bookViews>
    <workbookView xWindow="-108" yWindow="-108" windowWidth="23256" windowHeight="12456" xr2:uid="{00000000-000D-0000-FFFF-FFFF00000000}"/>
  </bookViews>
  <sheets>
    <sheet name="Cover" sheetId="1" r:id="rId1"/>
    <sheet name="Results" sheetId="2" r:id="rId2"/>
    <sheet name="Usage" sheetId="3" r:id="rId3"/>
    <sheet name="V1 - Architecture, Design and T" sheetId="4" r:id="rId4"/>
    <sheet name="V2 - Authentication" sheetId="5" r:id="rId5"/>
    <sheet name="V3 - Session Management" sheetId="6" r:id="rId6"/>
    <sheet name="V4 - Access Control" sheetId="7" r:id="rId7"/>
    <sheet name="V5 - Validation, Sanitization a" sheetId="8" r:id="rId8"/>
    <sheet name="V6 - Stored Cryptography" sheetId="9" r:id="rId9"/>
    <sheet name="V7 - Error Handling and Logging" sheetId="10" r:id="rId10"/>
    <sheet name="V8 - Data Protection" sheetId="11" r:id="rId11"/>
    <sheet name="V9 - Communication" sheetId="12" r:id="rId12"/>
    <sheet name="V10 - Malicious Code" sheetId="13" r:id="rId13"/>
    <sheet name="V11 - Business Logic" sheetId="14" r:id="rId14"/>
    <sheet name="V12 - Files and Resources" sheetId="15" r:id="rId15"/>
    <sheet name="V13 - API and Web Service" sheetId="16" r:id="rId16"/>
    <sheet name="V14 - Configuration" sheetId="17" r:id="rId17"/>
  </sheets>
  <definedNames>
    <definedName name="_xlnm._FilterDatabase" localSheetId="3" hidden="1">'V1 - Architecture, Design and T'!$C$1:$L$43</definedName>
    <definedName name="_xlnm._FilterDatabase" localSheetId="12" hidden="1">'V10 - Malicious Code'!$C$1:$L$11</definedName>
    <definedName name="_xlnm._FilterDatabase" localSheetId="13" hidden="1">'V11 - Business Logic'!$C$1:$L$9</definedName>
    <definedName name="_xlnm._FilterDatabase" localSheetId="15" hidden="1">'V13 - API and Web Service'!$C$1:$L$16</definedName>
    <definedName name="_xlnm._FilterDatabase" localSheetId="16" hidden="1">'V14 - Configuration'!$C$1:$L$26</definedName>
    <definedName name="_xlnm._FilterDatabase" localSheetId="4" hidden="1">'V2 - Authentication'!$C$1:$L$58</definedName>
    <definedName name="_xlnm._FilterDatabase" localSheetId="5" hidden="1">'V3 - Session Management'!$C$1:$L$21</definedName>
    <definedName name="_xlnm._FilterDatabase" localSheetId="6" hidden="1">'V4 - Access Control'!$C$1:$L$11</definedName>
    <definedName name="_xlnm._FilterDatabase" localSheetId="7" hidden="1">'V5 - Validation, Sanitization a'!$C$1:$L$31</definedName>
    <definedName name="_xlnm._FilterDatabase" localSheetId="8" hidden="1">'V6 - Stored Cryptography'!$C$1:$L$17</definedName>
    <definedName name="_xlnm._FilterDatabase" localSheetId="9" hidden="1">'V7 - Error Handling and Logging'!$C$1:$L$14</definedName>
    <definedName name="_xlnm._FilterDatabase" localSheetId="10" hidden="1">'V8 - Data Protection'!$C$1:$L$18</definedName>
    <definedName name="_xlnm._FilterDatabase" localSheetId="11" hidden="1">'V9 - Communication'!$C$1:$L$9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SLUeDmwZaBbaHiGZzSYYUPVtuNCeY/tSnCQoA5Z5ewQ="/>
    </ext>
  </extLst>
</workbook>
</file>

<file path=xl/calcChain.xml><?xml version="1.0" encoding="utf-8"?>
<calcChain xmlns="http://schemas.openxmlformats.org/spreadsheetml/2006/main">
  <c r="D22" i="2" l="1"/>
  <c r="C22" i="2"/>
  <c r="B22" i="2"/>
  <c r="E20" i="2" a="1"/>
  <c r="E20" i="2" s="1"/>
  <c r="F20" i="2" s="1"/>
  <c r="D20" i="2"/>
  <c r="C20" i="2"/>
  <c r="B20" i="2"/>
  <c r="E19" i="2" a="1"/>
  <c r="E19" i="2"/>
  <c r="F19" i="2" s="1"/>
  <c r="D19" i="2"/>
  <c r="C19" i="2"/>
  <c r="B19" i="2"/>
  <c r="E18" i="2" a="1"/>
  <c r="E18" i="2" s="1"/>
  <c r="F18" i="2" s="1"/>
  <c r="D18" i="2"/>
  <c r="C18" i="2"/>
  <c r="B18" i="2"/>
  <c r="E17" i="2" a="1"/>
  <c r="E17" i="2" s="1"/>
  <c r="F17" i="2" s="1"/>
  <c r="D17" i="2"/>
  <c r="C17" i="2"/>
  <c r="B17" i="2"/>
  <c r="E16" i="2" a="1"/>
  <c r="E16" i="2" s="1"/>
  <c r="F16" i="2" s="1"/>
  <c r="D16" i="2"/>
  <c r="C16" i="2"/>
  <c r="B16" i="2"/>
  <c r="E15" i="2" a="1"/>
  <c r="E15" i="2" s="1"/>
  <c r="F15" i="2" s="1"/>
  <c r="D15" i="2"/>
  <c r="C15" i="2"/>
  <c r="B15" i="2"/>
  <c r="E14" i="2" a="1"/>
  <c r="E14" i="2" s="1"/>
  <c r="F14" i="2" s="1"/>
  <c r="D14" i="2"/>
  <c r="C14" i="2"/>
  <c r="B14" i="2"/>
  <c r="E13" i="2" a="1"/>
  <c r="E13" i="2" s="1"/>
  <c r="F13" i="2" s="1"/>
  <c r="D13" i="2"/>
  <c r="C13" i="2"/>
  <c r="B13" i="2"/>
  <c r="E12" i="2" a="1"/>
  <c r="E12" i="2" s="1"/>
  <c r="F12" i="2" s="1"/>
  <c r="D12" i="2"/>
  <c r="C12" i="2"/>
  <c r="B12" i="2"/>
  <c r="E11" i="2" a="1"/>
  <c r="E11" i="2" s="1"/>
  <c r="F11" i="2" s="1"/>
  <c r="D11" i="2"/>
  <c r="C11" i="2"/>
  <c r="B11" i="2"/>
  <c r="E10" i="2" a="1"/>
  <c r="E10" i="2" s="1"/>
  <c r="F10" i="2" s="1"/>
  <c r="D10" i="2"/>
  <c r="C10" i="2"/>
  <c r="B10" i="2"/>
  <c r="E9" i="2" a="1"/>
  <c r="E9" i="2"/>
  <c r="F9" i="2" s="1"/>
  <c r="D9" i="2"/>
  <c r="C9" i="2"/>
  <c r="B9" i="2"/>
  <c r="E8" i="2" a="1"/>
  <c r="E8" i="2" s="1"/>
  <c r="F8" i="2" s="1"/>
  <c r="D8" i="2"/>
  <c r="C8" i="2"/>
  <c r="B8" i="2"/>
  <c r="E7" i="2" a="1"/>
  <c r="E7" i="2" s="1"/>
  <c r="D7" i="2"/>
  <c r="C7" i="2"/>
  <c r="B7" i="2"/>
  <c r="E22" i="2" l="1"/>
  <c r="F7" i="2"/>
  <c r="F22" i="2" s="1"/>
</calcChain>
</file>

<file path=xl/sharedStrings.xml><?xml version="1.0" encoding="utf-8"?>
<sst xmlns="http://schemas.openxmlformats.org/spreadsheetml/2006/main" count="1005" uniqueCount="787">
  <si>
    <t>DIG - MDPO25.A.1</t>
  </si>
  <si>
    <t>Cliente</t>
  </si>
  <si>
    <t>&lt;Cliente&gt;</t>
  </si>
  <si>
    <t>Progetto</t>
  </si>
  <si>
    <t>&lt;Progetto&gt;</t>
  </si>
  <si>
    <t>Livello di classificazione</t>
  </si>
  <si>
    <t>Interno</t>
  </si>
  <si>
    <t>Rev.</t>
  </si>
  <si>
    <t>Data</t>
  </si>
  <si>
    <t>Descrizione</t>
  </si>
  <si>
    <t>Redatto</t>
  </si>
  <si>
    <t>Approvato</t>
  </si>
  <si>
    <t>Classificazione</t>
  </si>
  <si>
    <t>0.0</t>
  </si>
  <si>
    <t>Prima emissione</t>
  </si>
  <si>
    <t>Area Digital</t>
  </si>
  <si>
    <t>CTO</t>
  </si>
  <si>
    <t>Results</t>
  </si>
  <si>
    <t>Current ASVS version</t>
  </si>
  <si>
    <t>4.0.3</t>
  </si>
  <si>
    <t>Level want to obtain</t>
  </si>
  <si>
    <t>Category</t>
  </si>
  <si>
    <t>Valid</t>
  </si>
  <si>
    <t>Invalid</t>
  </si>
  <si>
    <t>Not Applicable</t>
  </si>
  <si>
    <t>Total criteria</t>
  </si>
  <si>
    <t>Validity Percentage</t>
  </si>
  <si>
    <t>ASVS Level Acquired</t>
  </si>
  <si>
    <t>V1 - Architecture, Design and Threat Modeling</t>
  </si>
  <si>
    <t>V2 - Authentication</t>
  </si>
  <si>
    <t>V3 - Session Management</t>
  </si>
  <si>
    <t>V4 - Access Control</t>
  </si>
  <si>
    <t>V5 - Validation, Sanitization and Encoding</t>
  </si>
  <si>
    <t>V6 - Stored Cryptography</t>
  </si>
  <si>
    <t>V7 - Error Handling and Logging</t>
  </si>
  <si>
    <t>V8 - Data Protection</t>
  </si>
  <si>
    <t>V9 - Communication</t>
  </si>
  <si>
    <t>V10 - Malicious Code</t>
  </si>
  <si>
    <t>V11 - Business Logic</t>
  </si>
  <si>
    <t>V12 - Files and Resources</t>
  </si>
  <si>
    <t>V13 - API and Web Service</t>
  </si>
  <si>
    <t>V14 - Configuration</t>
  </si>
  <si>
    <t>Total</t>
  </si>
  <si>
    <r>
      <rPr>
        <b/>
        <sz val="11"/>
        <color rgb="FF1F2328"/>
        <rFont val="Calibri"/>
        <family val="2"/>
      </rPr>
      <t xml:space="preserve">Using the ASVS
</t>
    </r>
    <r>
      <rPr>
        <sz val="11"/>
        <color rgb="FF1F2328"/>
        <rFont val="Calibri"/>
        <family val="2"/>
      </rPr>
      <t xml:space="preserve">ASVS has two main goals:
to help organizations develop and maintain secure applications.
to allow security service vendors, security tools vendors, and consumers to align their requirements and offerings.
</t>
    </r>
  </si>
  <si>
    <r>
      <rPr>
        <b/>
        <sz val="11"/>
        <color rgb="FF1F2328"/>
        <rFont val="Calibri"/>
        <family val="2"/>
      </rPr>
      <t xml:space="preserve">Application Security Verification Levels
</t>
    </r>
    <r>
      <rPr>
        <sz val="11"/>
        <color rgb="FF1F2328"/>
        <rFont val="Calibri"/>
        <family val="2"/>
      </rPr>
      <t>The Application Security Verification Standard defines three security verification levels, with each level increasing in depth.
ASVS Level 1 is for low assurance levels, and is completely penetration testable
ASVS Level 2 is for applications that contain sensitive data, which requires protection and is the recommended level for most apps
ASVS Level 3 is for the most critical applications - applications that perform high value transactions, contain sensitive medical data, or any application that requires the highest level of trust.
Each ASVS level contains a list of security requirements. Each of these requirements can also be mapped to security-specific features and capabilities that must be built into software by developers.</t>
    </r>
  </si>
  <si>
    <r>
      <rPr>
        <b/>
        <sz val="11"/>
        <color rgb="FF1F2328"/>
        <rFont val="Calibri"/>
        <family val="2"/>
      </rPr>
      <t xml:space="preserve">How to use this standard
</t>
    </r>
    <r>
      <rPr>
        <sz val="11"/>
        <color rgb="FF1F2328"/>
        <rFont val="Calibri"/>
        <family val="2"/>
      </rPr>
      <t>One of the best ways to use the Application Security Verification Standard is to use it as a blueprint to create a Secure Coding Checklist specific to your application, platform or organization. Tailoring the ASVS to your use cases will increase the focus on the security requirements that are most important to your projects and environments.</t>
    </r>
  </si>
  <si>
    <r>
      <rPr>
        <b/>
        <sz val="11"/>
        <color rgb="FF1F2328"/>
        <rFont val="Calibri"/>
        <family val="2"/>
      </rPr>
      <t xml:space="preserve">Level 1 - First steps, automated, or whole of portfolio view
</t>
    </r>
    <r>
      <rPr>
        <sz val="11"/>
        <color rgb="FF1F2328"/>
        <rFont val="Calibri"/>
        <family val="2"/>
      </rPr>
      <t>An application achieves ASVS Level 1 if it adequately defends against application security vulnerabilities that are easy to discover, and included in the OWASP Top 10 and other similar checklists.
Level 1 is the bare minimum that all applications should strive for. It is also useful as a first step in a multi-phase effort or when applications do not store or handle sensitive data and therefore do not need the more rigorous controls of Level 2 or 3. Level 1 controls can be checked either automatically by tools or simply manually without access to source code. We consider Level 1 the minimum required for all applications.
Threats to the application will most likely be from attackers who are using simple and low effort techniques to identify easy-to-find and easy-to-exploit vulnerabilities. This is in contrast to a determined attacker who will spend focused energy to specifically target the application. If data processed by your application has high value, you would rarely want to stop at a Level 1 review.</t>
    </r>
  </si>
  <si>
    <r>
      <rPr>
        <b/>
        <sz val="11"/>
        <color rgb="FF1F2328"/>
        <rFont val="Calibri"/>
        <family val="2"/>
      </rPr>
      <t xml:space="preserve">Level 2 - Most applications
</t>
    </r>
    <r>
      <rPr>
        <sz val="11"/>
        <color rgb="FF1F2328"/>
        <rFont val="Calibri"/>
        <family val="2"/>
      </rPr>
      <t>An application achieves ASVS Level 2 (or Standard) if it adequately defends against most of the risks associated with software today.
Level 2 ensures that security controls are in place, effective, and used within the application. Level 2 is typically appropriate for applications that handle significant business-to-business transactions, including those that process healthcare information, implement business-critical or sensitive functions, or process other sensitive assets, or industries where integrity is a critical facet to protect their business, such as the game industry to thwart cheaters and game hacks.
Threats to Level 2 applications will typically be skilled and motivated attackers focusing on specific targets using tools and techniques that are highly practiced and effective at discovering and exploiting weaknesses within applications.</t>
    </r>
  </si>
  <si>
    <r>
      <rPr>
        <b/>
        <sz val="11"/>
        <color rgb="FF1F2328"/>
        <rFont val="Calibri"/>
        <family val="2"/>
      </rPr>
      <t xml:space="preserve">Level 3 - High value, high assurance, or high safety
</t>
    </r>
    <r>
      <rPr>
        <sz val="11"/>
        <color rgb="FF1F2328"/>
        <rFont val="Calibri"/>
        <family val="2"/>
      </rPr>
      <t>ASVS Level 3 is the highest level of verification within the ASVS. This level is typically reserved for applications that require significant levels of security verification, such as those that may be found within areas of military, health and safety, critical infrastructure, etc.
Organizations may require ASVS Level 3 for applications that perform critical functions, where failure could significantly impact the organization's operations, and even its survivability. Example guidance on the application of ASVS Level 3 is provided below. An application achieves ASVS Level 3 (or Advanced) if it adequately defends against advanced application security vulnerabilities and also demonstrates principles of good security design.
An application at ASVS Level 3 requires more in depth analysis of architecture, coding, and testing than all the other levels. A secure application is modularized in a meaningful way (to facilitate resiliency, scalability, and most of all, layers of security), and each module (separated by network connection and/or physical instance) takes care of its own security responsibilities (defense in depth), that need to be properly documented. Responsibilities include controls for ensuring confidentiality (e.g. encryption), integrity (e.g. transactions, input validation), availability (e.g. handling load gracefully), authentication (including between systems), authorization, and auditing (logging).</t>
    </r>
  </si>
  <si>
    <t>#</t>
  </si>
  <si>
    <t>Control Objective</t>
  </si>
  <si>
    <t>ASVS Level</t>
  </si>
  <si>
    <t>CWE</t>
  </si>
  <si>
    <t>NIST</t>
  </si>
  <si>
    <t>Verification Requirement</t>
  </si>
  <si>
    <t>Source Code Reference</t>
  </si>
  <si>
    <t>Comment</t>
  </si>
  <si>
    <t>Tool Used</t>
  </si>
  <si>
    <t>Scope</t>
  </si>
  <si>
    <t>V1.1</t>
  </si>
  <si>
    <t>Secure Software 
Development Lifecycle</t>
  </si>
  <si>
    <t>1.1.1</t>
  </si>
  <si>
    <t>Verify the use of a secure software development lifecycle that addresses security in all stages of development. ([C1](https://owasp.org/www-project-proactive-controls/#div-numbering))</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</si>
  <si>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</si>
  <si>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</si>
  <si>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</si>
  <si>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</si>
  <si>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</si>
  <si>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</si>
  <si>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</si>
  <si>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</si>
  <si>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</si>
  <si>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</si>
  <si>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</si>
  <si>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</si>
  <si>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V1.2</t>
  </si>
  <si>
    <t>Authentication 
Architecture</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</si>
  <si>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</si>
  <si>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</si>
  <si>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</si>
  <si>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</si>
  <si>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</si>
  <si>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</si>
  <si>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</si>
  <si>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</si>
  <si>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V1.4</t>
  </si>
  <si>
    <t>Access Control Architecture</t>
  </si>
  <si>
    <t>1.4.1</t>
  </si>
  <si>
    <t>Verify that trusted enforcement points such as at access control gateways, servers, and serverless functions enforce access controls. Never enforce access controls on the client.</t>
  </si>
  <si>
    <t>1.4.2</t>
  </si>
  <si>
    <t>[DELETED, NOT ACTIONABLE]</t>
  </si>
  <si>
    <t>1.4.3</t>
  </si>
  <si>
    <t>[DELETED, DUPLICATE OF 4.1.3]</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</si>
  <si>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</si>
  <si>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</si>
  <si>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</si>
  <si>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</si>
  <si>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V1.5</t>
  </si>
  <si>
    <t>Input and Output Architecture</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</si>
  <si>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</si>
  <si>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</si>
  <si>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</si>
  <si>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</si>
  <si>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</si>
  <si>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</si>
  <si>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</si>
  <si>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</si>
  <si>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V1.6</t>
  </si>
  <si>
    <t>Cryptographic Architecture</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</si>
  <si>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</si>
  <si>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</si>
  <si>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</si>
  <si>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</si>
  <si>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</si>
  <si>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</si>
  <si>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</si>
  <si>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</si>
  <si>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V1.7</t>
  </si>
  <si>
    <t>Errors,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</si>
  <si>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</si>
  <si>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</si>
  <si>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</si>
  <si>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</si>
  <si>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V1.8</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</si>
  <si>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</si>
  <si>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</si>
  <si>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</si>
  <si>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</si>
  <si>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</si>
  <si>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V1.9</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</si>
  <si>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</si>
  <si>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</si>
  <si>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</si>
  <si>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</si>
  <si>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</si>
  <si>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V1.10</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</si>
  <si>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</si>
  <si>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</si>
  <si>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</si>
  <si>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V1.11</t>
  </si>
  <si>
    <t>Business Logic Architecture</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</si>
  <si>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</si>
  <si>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</si>
  <si>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</si>
  <si>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</si>
  <si>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</si>
  <si>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</si>
  <si>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V1.12</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</si>
  <si>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</si>
  <si>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</si>
  <si>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</si>
  <si>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</si>
  <si>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</si>
  <si>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V1.14</t>
  </si>
  <si>
    <t>Configuration Architecture</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</si>
  <si>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</si>
  <si>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</si>
  <si>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</si>
  <si>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</si>
  <si>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</si>
  <si>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</si>
  <si>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</si>
  <si>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</si>
  <si>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</si>
  <si>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</si>
  <si>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</si>
  <si>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</si>
  <si>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V2.1</t>
  </si>
  <si>
    <t>Password Security</t>
  </si>
  <si>
    <t>2.1.1</t>
  </si>
  <si>
    <t>5.1.1.2</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</si>
  <si>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</si>
  <si>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</si>
  <si>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</si>
  <si>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</si>
  <si>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</si>
  <si>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</si>
  <si>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</si>
  <si>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</si>
  <si>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</si>
  <si>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</si>
  <si>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</si>
  <si>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</si>
  <si>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</si>
  <si>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</si>
  <si>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</si>
  <si>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</si>
  <si>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</si>
  <si>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</si>
  <si>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</si>
  <si>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</si>
  <si>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</si>
  <si>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</si>
  <si>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</si>
  <si>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V2.2</t>
  </si>
  <si>
    <t>General Authenticator</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</si>
  <si>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</si>
  <si>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</si>
  <si>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</si>
  <si>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</si>
  <si>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</si>
  <si>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</si>
  <si>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</si>
  <si>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</si>
  <si>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</si>
  <si>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</si>
  <si>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</si>
  <si>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</si>
  <si>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</si>
  <si>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</si>
  <si>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</si>
  <si>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</si>
  <si>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</si>
  <si>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</si>
  <si>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</si>
  <si>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</si>
  <si>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V2.3</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</si>
  <si>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</si>
  <si>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</si>
  <si>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</si>
  <si>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</si>
  <si>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</si>
  <si>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</si>
  <si>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subscriber-provided authentication devices are supported, such as a U2F or FIDO tokens.</t>
  </si>
  <si>
    <t>2.3.3</t>
  </si>
  <si>
    <t>6.1.4</t>
  </si>
  <si>
    <t>Verify that renewal instructions are sent with sufficient time to renew time bound authenticators.</t>
  </si>
  <si>
    <t>V2.4</t>
  </si>
  <si>
    <t>Credentials Storage 
Credentials</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</si>
  <si>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</si>
  <si>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</si>
  <si>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</si>
  <si>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</si>
  <si>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</si>
  <si>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</si>
  <si>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</si>
  <si>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</si>
  <si>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</si>
  <si>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</si>
  <si>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V2.5</t>
  </si>
  <si>
    <t>Credential Recovery</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</si>
  <si>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</si>
  <si>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</si>
  <si>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</si>
  <si>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</si>
  <si>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</si>
  <si>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</si>
  <si>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</si>
  <si>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</si>
  <si>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</si>
  <si>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</si>
  <si>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</si>
  <si>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</si>
  <si>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</si>
  <si>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</si>
  <si>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</si>
  <si>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V2.6</t>
  </si>
  <si>
    <t>Look-up Secret Verifier</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</si>
  <si>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</si>
  <si>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</si>
  <si>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</si>
  <si>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</si>
  <si>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</si>
  <si>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</si>
  <si>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</si>
  <si>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V2.7</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</si>
  <si>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</si>
  <si>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</si>
  <si>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</si>
  <si>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</si>
  <si>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</si>
  <si>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</si>
  <si>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</si>
  <si>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</si>
  <si>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</si>
  <si>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</si>
  <si>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</si>
  <si>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</si>
  <si>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</si>
  <si>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</si>
  <si>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V2.8</t>
  </si>
  <si>
    <t>Single or Multi Factor 
One Time Verifier 
Requirements</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</si>
  <si>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</si>
  <si>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</si>
  <si>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</si>
  <si>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</si>
  <si>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</si>
  <si>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</si>
  <si>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</si>
  <si>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</si>
  <si>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</si>
  <si>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</si>
  <si>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</si>
  <si>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</si>
  <si>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</si>
  <si>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</si>
  <si>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</si>
  <si>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</si>
  <si>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</si>
  <si>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</si>
  <si>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V2.9</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</si>
  <si>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</si>
  <si>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</si>
  <si>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</si>
  <si>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</si>
  <si>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</si>
  <si>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</si>
  <si>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</si>
  <si>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</si>
  <si>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V2.10</t>
  </si>
  <si>
    <t>Service Authentication</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</si>
  <si>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</si>
  <si>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</si>
  <si>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</si>
  <si>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</si>
  <si>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</si>
  <si>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</si>
  <si>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</si>
  <si>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</si>
  <si>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</si>
  <si>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</si>
  <si>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V3.1</t>
  </si>
  <si>
    <t>Fundamental 
Session Management</t>
  </si>
  <si>
    <t>3.1.1</t>
  </si>
  <si>
    <t xml:space="preserve">Verify the application never reveals session tokens in URL parameters.	</t>
  </si>
  <si>
    <t>V3.2</t>
  </si>
  <si>
    <t>Session Binding</t>
  </si>
  <si>
    <t>3.2.1</t>
  </si>
  <si>
    <t>7.1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</si>
  <si>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</si>
  <si>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</si>
  <si>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</si>
  <si>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3.2.3</t>
  </si>
  <si>
    <t>Verify the application only stores session tokens in the browser using secure methods such as appropriately secured cookies (see section 3.4) or HTML 5 session storage.</t>
  </si>
  <si>
    <t>3.2.4</t>
  </si>
  <si>
    <t>Verify that session token are generated using approved cryptographic algorithms. ([C6](https://www.owasp.org/index.php/OWASP_Proactive_Controls#tab=Formal_Numbering))</t>
  </si>
  <si>
    <t>V3.3</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</si>
  <si>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</si>
  <si>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</si>
  <si>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</si>
  <si>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</si>
  <si>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7.2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</si>
  <si>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</si>
  <si>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</si>
  <si>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</si>
  <si>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</si>
  <si>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</si>
  <si>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V3.4</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</si>
  <si>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</si>
  <si>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</si>
  <si>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</si>
  <si>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</si>
  <si>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</si>
  <si>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</si>
  <si>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</si>
  <si>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</si>
  <si>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</si>
  <si>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"__Host-" prefix (see references) to provide session cookie confidentiality.</t>
  </si>
  <si>
    <t>3.4.5</t>
  </si>
  <si>
    <t>Verify that if the application is published under a domain name with other applications that set or use session cookies that might override or disclose the session cookies, set the path attribute in cookie-based session tokens using the most precise path possible. ([C6](https://owasp.org/www-project-proactive-controls/#div-numbering))</t>
  </si>
  <si>
    <t>V3.5</t>
  </si>
  <si>
    <t>Token-based 
Session Management</t>
  </si>
  <si>
    <t>3.5.1</t>
  </si>
  <si>
    <t>7.1.2</t>
  </si>
  <si>
    <t>Verify the application allows users to revoke OAuth tokens that form trust relationships with linked applications.</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</si>
  <si>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</si>
  <si>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</si>
  <si>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</si>
  <si>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</si>
  <si>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V3.6</t>
  </si>
  <si>
    <t>Federated Re-authentication</t>
  </si>
  <si>
    <t>3.6.1</t>
  </si>
  <si>
    <t>7.2.1</t>
  </si>
  <si>
    <t>Verify that Relying Parties (RPs) specify the maximum authentication time to Credential Service Providers (CSPs) and that CSPs re-authenticate the user if they haven't used a session within that period.</t>
  </si>
  <si>
    <t>3.6.2</t>
  </si>
  <si>
    <t>Verify that Credential Service Providers (CSPs) inform Relying Parties (RPs) of the last authentication event, to allow RPs to determine if they need to re-authenticate the user.</t>
  </si>
  <si>
    <t>V3.7</t>
  </si>
  <si>
    <t>Defenses Against Session Management Exploits</t>
  </si>
  <si>
    <t>3.7.1</t>
  </si>
  <si>
    <t>Verify the application ensures a valid login session or requires re-authentication or secondary verification before allowing any sensitive transactions or account modifications.</t>
  </si>
  <si>
    <t>V4.1</t>
  </si>
  <si>
    <t>General 
Access Control Design</t>
  </si>
  <si>
    <t>4.1.1</t>
  </si>
  <si>
    <t>Verify that the application enforces access control rules on a trusted service layer, especially if client-side access control is present and could be bypassed.</t>
  </si>
  <si>
    <t>4.1.2</t>
  </si>
  <si>
    <t>Verify that all user and data attributes and policy information used by access controls cannot be manipulated by end users unless specifically authorized.</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</si>
  <si>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</si>
  <si>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</si>
  <si>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4.1.4</t>
  </si>
  <si>
    <t>4.1.5</t>
  </si>
  <si>
    <t>Verify that access controls fail securely including when an exception occurs. ([C10](https://owasp.org/www-project-proactive-controls/#div-numbering))</t>
  </si>
  <si>
    <t>V4.2</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</si>
  <si>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</si>
  <si>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</si>
  <si>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</si>
  <si>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</si>
  <si>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</si>
  <si>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V.4.3</t>
  </si>
  <si>
    <t>Other Access Control Considerations</t>
  </si>
  <si>
    <t>4.3.1</t>
  </si>
  <si>
    <t>Verify administrative interfaces use appropriate multi-factor authentication to prevent unauthorized use.</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</si>
  <si>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</si>
  <si>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</si>
  <si>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</si>
  <si>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</si>
  <si>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V5.1</t>
  </si>
  <si>
    <t>Input Validation</t>
  </si>
  <si>
    <t>5.1.1</t>
  </si>
  <si>
    <t>Verify that the application has defenses against HTTP parameter pollution attacks, particularly if the application framework makes no distinction about the source of request parameters (GET, POST, cookies, headers, or environment variables).</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</si>
  <si>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</si>
  <si>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</si>
  <si>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5.1.3</t>
  </si>
  <si>
    <t>Verify that all input (HTML form fields, REST requests, URL parameters, HTTP headers, cookies, batch files, RSS feeds, etc) is validated using positive validation (allow lists). ([C5](https://owasp.org/www-project-proactive-controls/#div-numbering))</t>
  </si>
  <si>
    <t>5.1.4</t>
  </si>
  <si>
    <t>Verify that structured data is strongly typed and validated against a defined schema including allowed characters, length and pattern (e.g. credit card numbers or telephone, or validating that two related fields are reasonable, such as checking that suburb and zip/postcode match). ([C5](https://owasp.org/www-project-proactive-controls/#div-numbering))</t>
  </si>
  <si>
    <t>5.1.5</t>
  </si>
  <si>
    <t>Verify that URL redirects and forwards only allow destinations which appear on an allow list, or show a warning when redirecting to potentially untrusted content.</t>
  </si>
  <si>
    <t>V5.2</t>
  </si>
  <si>
    <t>Sanitization and Sandboxing</t>
  </si>
  <si>
    <t>Verify that all untrusted HTML input from WYSIWYG editors or similar is properly sanitized with an HTML sanitizer library or framework feature. ([C5](https://owasp.org/www-project-proactive-controls/#div-numbering))</t>
  </si>
  <si>
    <t>5.2.2</t>
  </si>
  <si>
    <t>Verify that unstructured data is sanitized to enforce safety measures such as allowed characters and length.</t>
  </si>
  <si>
    <t>Verify that the application sanitizes user input before passing to mail systems to protect against SMTP or IMAP injection.</t>
  </si>
  <si>
    <t>5.2.4</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</si>
  <si>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</si>
  <si>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</si>
  <si>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protects against SSRF attacks, by validating or sanitizing untrusted data or HTTP file metadata, such as filenames and URL input fields, and uses allow lists of protocols, domains, paths and ports.</t>
  </si>
  <si>
    <t>5.2.7</t>
  </si>
  <si>
    <t>Verify that the application sanitizes, disables, or sandboxes user-supplied Scalable Vector Graphics (SVG) scriptable content, especially as they relate to XSS resulting from inline scripts, and foreignObject.</t>
  </si>
  <si>
    <t>Verify that the application sanitizes, disables, or sandboxes user-supplied scriptable or expression template language content, such as Markdown, CSS or XSL stylesheets, BBCode, or similar.</t>
  </si>
  <si>
    <t>V5.3</t>
  </si>
  <si>
    <t>Output Encoding 
and Injection Prevention</t>
  </si>
  <si>
    <t>5.3.1</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</si>
  <si>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</si>
  <si>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5.3.2</t>
  </si>
  <si>
    <t>Verify that output encoding preserves the user's chosen character set and locale, such that any Unicode character point is valid and safely handled. ([C4](https://owasp.org/www-project-proactive-controls/#div-numbering))</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</si>
  <si>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</si>
  <si>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</si>
  <si>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</si>
  <si>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</si>
  <si>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</si>
  <si>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</si>
  <si>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5.3.6</t>
  </si>
  <si>
    <t>Verify that the application protects against JSON injection attacks, JSON eval attacks, and JavaScript expression evaluation. ([C4](https://owasp.org/www-project-proactive-controls/#div-numbering))</t>
  </si>
  <si>
    <t>5.3.7</t>
  </si>
  <si>
    <t>Verify that the application protects against LDAP injection vulnerabilities, or that specific security controls to prevent LDAP injection have been implemented. ([C4](https://owasp.org/www-project-proactive-controls/#div-numbering))</t>
  </si>
  <si>
    <t>5.3.8</t>
  </si>
  <si>
    <t>Verify that the application protects against OS command injection and that operating system calls use parameterized OS queries or use contextual command line output encoding. ([C4](https://owasp.org/www-project-proactive-controls/#div-numbering))</t>
  </si>
  <si>
    <t>5.3.9</t>
  </si>
  <si>
    <t>Verify that the application protects against Local File Inclusion (LFI) or Remote File Inclusion (RFI) attacks.</t>
  </si>
  <si>
    <t>5.3.10</t>
  </si>
  <si>
    <t>Verify that the application protects against XPath injection or XML injection attacks. ([C4](https://owasp.org/www-project-proactive-controls/#div-numbering))</t>
  </si>
  <si>
    <t>V5.4</t>
  </si>
  <si>
    <t>Memory, String and
 Unmanaged Code</t>
  </si>
  <si>
    <t>5.4.1</t>
  </si>
  <si>
    <t>Verify that the application uses memory-safe string, safer memory copy and pointer arithmetic to detect or prevent stack, buffer, or heap overflows.</t>
  </si>
  <si>
    <t>5.4.2</t>
  </si>
  <si>
    <t>Verify that format strings do not take potentially hostile input, and are constant.</t>
  </si>
  <si>
    <t>5.4.3</t>
  </si>
  <si>
    <t>Verify that sign, range, and input validation techniques are used to prevent integer overflows.</t>
  </si>
  <si>
    <t>V.5.5</t>
  </si>
  <si>
    <t>Deserialization Prevention</t>
  </si>
  <si>
    <t>5.5.1</t>
  </si>
  <si>
    <t>Verify that serialized objects use integrity checks or are encrypted to prevent hostile object creation or data tampering. ([C5](https://owasp.org/www-project-proactive-controls/#div-numbering))</t>
  </si>
  <si>
    <t>5.5.2</t>
  </si>
  <si>
    <t>Verify that the application correctly restricts XML parsers to only use the most restrictive configuration possible and to ensure that unsafe features such as resolving external entities are disabled to prevent XML eXternal Entity (XXE) attacks.</t>
  </si>
  <si>
    <t>5.5.3</t>
  </si>
  <si>
    <t>Verify that deserialization of untrusted data is avoided or is protected in both custom code and third-party libraries (such as JSON, XML and YAML parsers).</t>
  </si>
  <si>
    <t>5.5.4</t>
  </si>
  <si>
    <t>Verify that when parsing JSON in browsers or JavaScript-based backends, JSON.parse is used to parse the JSON document. Do not use eval() to parse JSON.</t>
  </si>
  <si>
    <t>V6.1</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</si>
  <si>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</si>
  <si>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</si>
  <si>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</si>
  <si>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</si>
  <si>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</si>
  <si>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</si>
  <si>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V6.2</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</si>
  <si>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</si>
  <si>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</si>
  <si>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</si>
  <si>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</si>
  <si>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</si>
  <si>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</si>
  <si>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</si>
  <si>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</si>
  <si>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</si>
  <si>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</si>
  <si>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</si>
  <si>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</si>
  <si>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</si>
  <si>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</si>
  <si>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</si>
  <si>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</si>
  <si>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</si>
  <si>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V6.3</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</si>
  <si>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</si>
  <si>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</si>
  <si>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</si>
  <si>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</si>
  <si>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</si>
  <si>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</si>
  <si>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</si>
  <si>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V6.4</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</si>
  <si>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</si>
  <si>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</si>
  <si>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</si>
  <si>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</si>
  <si>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</si>
  <si>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V7.1</t>
  </si>
  <si>
    <t>Log Content</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</si>
  <si>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</si>
  <si>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</si>
  <si>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7.1.3</t>
  </si>
  <si>
    <t>Verify that the application logs security relevant events including successful and failed authentication events, access control failures, deserialization failures and input validation failures. ([C5, C7](https://owasp.org/www-project-proactive-controls/#div-numbering))</t>
  </si>
  <si>
    <t>7.1.4</t>
  </si>
  <si>
    <t>Verify that each log event includes necessary information that would allow for a detailed investigation of the timeline when an event happens. ([C9](https://owasp.org/www-project-proactive-controls/#div-numbering))</t>
  </si>
  <si>
    <t>V7.2</t>
  </si>
  <si>
    <t>Log Processing</t>
  </si>
  <si>
    <t>Verify that all authentication decisions are logged, without storing sensitive session identifiers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</si>
  <si>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</si>
  <si>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</si>
  <si>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V7.3</t>
  </si>
  <si>
    <t>Log Protection</t>
  </si>
  <si>
    <t>7.3.1</t>
  </si>
  <si>
    <t>Verify that the application appropriately encodes user-supplied data to prevent log injection. ([C9](https://owasp.org/www-project-proactive-controls/#div-numbering))</t>
  </si>
  <si>
    <t>7.3.2</t>
  </si>
  <si>
    <t>[DELETED, DUPLICATE OF 7.3.1]</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</si>
  <si>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</si>
  <si>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</si>
  <si>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</si>
  <si>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</si>
  <si>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V7.4</t>
  </si>
  <si>
    <t>Error Handling</t>
  </si>
  <si>
    <t>7.4.1</t>
  </si>
  <si>
    <t>Verify that a generic message is shown when an unexpected or security sensitive error occurs, potentially with a unique ID which support personnel can use to investigate. ([C10](https://owasp.org/www-project-proactive-controls/#div-numbering))</t>
  </si>
  <si>
    <t>7.4.2</t>
  </si>
  <si>
    <t>Verify that exception handling (or a functional equivalent) is used across the codebase to account for expected and unexpected error conditions. ([C10](https://owasp.org/www-project-proactive-controls/#div-numbering))</t>
  </si>
  <si>
    <t>7.4.3</t>
  </si>
  <si>
    <t>Verify that a "last resort" error handler is defined which will catch all unhandled exceptions. ([C10](https://owasp.org/www-project-proactive-controls/#div-numbering))</t>
  </si>
  <si>
    <t>V8.1</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</si>
  <si>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</si>
  <si>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</si>
  <si>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</si>
  <si>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</si>
  <si>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</si>
  <si>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</si>
  <si>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</si>
  <si>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</si>
  <si>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</si>
  <si>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</si>
  <si>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</si>
  <si>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</si>
  <si>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</si>
  <si>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V8.2</t>
  </si>
  <si>
    <t>Client-side Data Protection</t>
  </si>
  <si>
    <t>8.2.1</t>
  </si>
  <si>
    <t>Verify the application sets sufficient anti-caching headers so that sensitive data is not cached in modern browsers.</t>
  </si>
  <si>
    <t>8.2.2</t>
  </si>
  <si>
    <t>Verify that data stored in browser storage (such as localStorage, sessionStorage, IndexedDB, or cookies) does not contain sensitive data.</t>
  </si>
  <si>
    <t>8.2.3</t>
  </si>
  <si>
    <t>Verify that authenticated data is cleared from client storage, such as the browser DOM, after the client or session is terminated.</t>
  </si>
  <si>
    <t>V8.3</t>
  </si>
  <si>
    <t>Sensitive Private Data</t>
  </si>
  <si>
    <t>8.3.1</t>
  </si>
  <si>
    <t>Verify that sensitive data is sent to the server in the HTTP message body or headers, and that query string parameters from any HTTP verb do not contain sensitive data.</t>
  </si>
  <si>
    <t>8.3.2</t>
  </si>
  <si>
    <t>Verify that users have a method to remove or export their data on demand.</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</si>
  <si>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</si>
  <si>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</si>
  <si>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</si>
  <si>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</si>
  <si>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</si>
  <si>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</si>
  <si>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</si>
  <si>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</si>
  <si>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</si>
  <si>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</si>
  <si>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8.3.8</t>
  </si>
  <si>
    <t>Verify that sensitive personal information is subject to data retention classification, such that old or out of date data is deleted automatically, on a schedule, or as the situation requires.</t>
  </si>
  <si>
    <t>V9.1</t>
  </si>
  <si>
    <t>Client Communications Security</t>
  </si>
  <si>
    <t>9.1.1</t>
  </si>
  <si>
    <t>Verify that TLS is used for all client connectivity, and does not fall back to insecure or unencrypted communications. ([C8](https://owasp.org/www-project-proactive-controls/#div-numbering))</t>
  </si>
  <si>
    <t>9.1.2</t>
  </si>
  <si>
    <t xml:space="preserve">Verify using up to date TLS testing tools that only strong cipher suites are enabled, with the strongest cipher suites set as preferred.	</t>
  </si>
  <si>
    <t>9.1.3</t>
  </si>
  <si>
    <t>Verify that only the latest recommended versions of the TLS protocol are enabled, such as TLS 1.2 and TLS 1.3. The latest version of the TLS protocol should be the preferred option.</t>
  </si>
  <si>
    <t>V9.2</t>
  </si>
  <si>
    <t>Server Communications Security</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</si>
  <si>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</si>
  <si>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</si>
  <si>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</si>
  <si>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</si>
  <si>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</si>
  <si>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</si>
  <si>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</si>
  <si>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</si>
  <si>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</si>
  <si>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</si>
  <si>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V10.1</t>
  </si>
  <si>
    <t>Code Integrity</t>
  </si>
  <si>
    <t>10.1.1</t>
  </si>
  <si>
    <t>Verify that a code analysis tool is in use that can detect potentially malicious code, such as time functions, unsafe file operations and network connections.</t>
  </si>
  <si>
    <t>V10.2</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</si>
  <si>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</si>
  <si>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</si>
  <si>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</si>
  <si>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</si>
  <si>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</si>
  <si>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</si>
  <si>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</si>
  <si>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</si>
  <si>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</si>
  <si>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</si>
  <si>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</si>
  <si>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</si>
  <si>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</si>
  <si>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V10.3</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</si>
  <si>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</si>
  <si>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</si>
  <si>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</si>
  <si>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</si>
  <si>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</si>
  <si>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</si>
  <si>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</si>
  <si>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V11.1</t>
  </si>
  <si>
    <t>Business Logic Security</t>
  </si>
  <si>
    <t>11.1.1</t>
  </si>
  <si>
    <t>Verify the application will only process business logic flows for the same user in sequential step order and without skipping steps.</t>
  </si>
  <si>
    <t>11.1.2</t>
  </si>
  <si>
    <t>Verify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</si>
  <si>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</si>
  <si>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</si>
  <si>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</si>
  <si>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the application has sufficient anti-automation controls to detect and protect against data exfiltration, excessive business logic requests, excessive file uploads or denial of service attacks.</t>
  </si>
  <si>
    <t>11.1.5</t>
  </si>
  <si>
    <t>Verify the application has business logic limits or validation to protect against likely business risks or threats, identified using threat modeling or similar methodologies.</t>
  </si>
  <si>
    <t>11.1.6</t>
  </si>
  <si>
    <t>Verify the application does not suffer from "Time Of Check to Time Of Use" (TOCTOU) issues or other race conditions for sensitive operations.</t>
  </si>
  <si>
    <t>11.1.7</t>
  </si>
  <si>
    <t>Verify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</si>
  <si>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</si>
  <si>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the application has configurable alerting when automated attacks or unusual activity is detected.</t>
  </si>
  <si>
    <t>V12.1</t>
  </si>
  <si>
    <t>File Upload</t>
  </si>
  <si>
    <t>12.1.1</t>
  </si>
  <si>
    <t>Verify that the application will not accept large files that could fill up storage or cause a denial of service.</t>
  </si>
  <si>
    <t>12.1.2</t>
  </si>
  <si>
    <t>Verify that the application checks compressed files (e.g. zip, gz, docx, odt) against maximum allowed uncompressed size and against maximum number of files before uncompressing the file.</t>
  </si>
  <si>
    <t>12.1.3</t>
  </si>
  <si>
    <t>Verify that a file size quota and maximum number of files per user is enforced to ensure that a single user cannot fill up the storage with too many files, or excessively large files.</t>
  </si>
  <si>
    <t>V12.2</t>
  </si>
  <si>
    <t>File Integrity</t>
  </si>
  <si>
    <t>12.2.1</t>
  </si>
  <si>
    <t>Verify that files obtained from untrusted sources are validated to be of expected type based on the file's content.</t>
  </si>
  <si>
    <t>V12.3</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</si>
  <si>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</si>
  <si>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</si>
  <si>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</si>
  <si>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</si>
  <si>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</si>
  <si>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</si>
  <si>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</si>
  <si>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</si>
  <si>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</si>
  <si>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</si>
  <si>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</si>
  <si>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</si>
  <si>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</si>
  <si>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V12.4</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</si>
  <si>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</si>
  <si>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</si>
  <si>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</si>
  <si>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</si>
  <si>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</si>
  <si>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V12.5</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</si>
  <si>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</si>
  <si>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</si>
  <si>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</si>
  <si>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</si>
  <si>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</si>
  <si>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V12.6</t>
  </si>
  <si>
    <t>SSRF Protection</t>
  </si>
  <si>
    <t>12.6.1</t>
  </si>
  <si>
    <t>Verify that the web or application server is configured with an allow list of resources or systems to which the server can send requests or load data/files from.</t>
  </si>
  <si>
    <t>V13.1</t>
  </si>
  <si>
    <t>Generic Web Service Security</t>
  </si>
  <si>
    <t>13.1.1</t>
  </si>
  <si>
    <t>Verify that all application components use the same encodings and parsers to avoid parsing attacks that exploit different URI or file parsing behavior that could be used in SSRF and RFI attacks.</t>
  </si>
  <si>
    <t>13.1.2</t>
  </si>
  <si>
    <t>[DELETED, DUPLICATE OF 4.3.1]</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</si>
  <si>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</si>
  <si>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</si>
  <si>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</si>
  <si>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</si>
  <si>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</si>
  <si>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</si>
  <si>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V13.2</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</si>
  <si>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</si>
  <si>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</si>
  <si>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</si>
  <si>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</si>
  <si>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</si>
  <si>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</si>
  <si>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</si>
  <si>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</si>
  <si>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</si>
  <si>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</si>
  <si>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</si>
  <si>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</si>
  <si>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</si>
  <si>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V13.3</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</si>
  <si>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</si>
  <si>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</si>
  <si>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</si>
  <si>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</si>
  <si>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</si>
  <si>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V13.4</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</si>
  <si>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</si>
  <si>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</si>
  <si>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</si>
  <si>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</si>
  <si>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</si>
  <si>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V14.1</t>
  </si>
  <si>
    <t>Build and Deploy</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</si>
  <si>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</si>
  <si>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</si>
  <si>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</si>
  <si>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</si>
  <si>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</si>
  <si>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</si>
  <si>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</si>
  <si>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</si>
  <si>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</si>
  <si>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</si>
  <si>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V14.2</t>
  </si>
  <si>
    <t>Dependency</t>
  </si>
  <si>
    <t>14.2.1</t>
  </si>
  <si>
    <t>Verify that all components are up to date, preferably using a dependency checker during build or compile time. ([C2](https://owasp.org/www-project-proactive-controls/#div-numbering))</t>
  </si>
  <si>
    <t>14.2.2</t>
  </si>
  <si>
    <t>Verify that all unneeded features, documentation, sample applications and configurations are removed.</t>
  </si>
  <si>
    <t>14.2.3</t>
  </si>
  <si>
    <t>Verify that if application assets, such as JavaScript libraries, CSS stylesheets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</si>
  <si>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</si>
  <si>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</si>
  <si>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14.2.5</t>
  </si>
  <si>
    <t>Verify that an inventory catalog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</si>
  <si>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</si>
  <si>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</si>
  <si>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V14.3</t>
  </si>
  <si>
    <t>Unintended Security Disclosure</t>
  </si>
  <si>
    <t>14.3.1</t>
  </si>
  <si>
    <t>[DELETED, DUPLICATE OF 7.4.1]</t>
  </si>
  <si>
    <t>14.3.2</t>
  </si>
  <si>
    <t>Verify that web or application server and application framework debug modes are disabled in production to eliminate debug features, developer consoles, and unintended security disclosures.</t>
  </si>
  <si>
    <t>14.3.3</t>
  </si>
  <si>
    <t>Verify that the HTTP headers or any part of the HTTP response do not expose detailed version information of system components.</t>
  </si>
  <si>
    <t>V14.4</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</si>
  <si>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</si>
  <si>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</si>
  <si>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</si>
  <si>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14.4.2</t>
  </si>
  <si>
    <t>Verify that all API responses contain Content-Disposition: attachment; filename="api.json" header (or other appropriate filename for the content type).</t>
  </si>
  <si>
    <t>14.4.3</t>
  </si>
  <si>
    <t>Verify that a Content Security Policy (CSP) response header is in place that helps mitigate impact for XSS attacks like HTML, DOM, JSON, and JavaScript injection vulnerabilities.</t>
  </si>
  <si>
    <t>14.4.4</t>
  </si>
  <si>
    <t>Verify that all responses contain a X-Content-Type-Options: nosniff header.</t>
  </si>
  <si>
    <t>14.4.5</t>
  </si>
  <si>
    <t>Verify that a Strict-Transport-Security header is included on all responses and for all subdomains, such as Strict-Transport-Security: max-age=15724800; includeSubdomains.</t>
  </si>
  <si>
    <t>14.4.6</t>
  </si>
  <si>
    <t>Verify that a suitable Referrer-Policy header is included to avoid exposing sensitive information in the URL through the Referer header to untrusted parties.</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</si>
  <si>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</si>
  <si>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</si>
  <si>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V14.5</t>
  </si>
  <si>
    <t>HTTP Request Header Validation</t>
  </si>
  <si>
    <t>14.5.1</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</si>
  <si>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</si>
  <si>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</si>
  <si>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</si>
  <si>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</si>
  <si>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</si>
  <si>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</si>
  <si>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</si>
  <si>
    <t>Vectorlab - OWASP ASVS Checklist</t>
  </si>
  <si>
    <t>Rev. 0.0</t>
  </si>
  <si>
    <t>gg/mmm/aaa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</si>
</sst>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8" x14ac:knownFonts="1">
    <font>
      <sz val="10"/>
      <color rgb="FF000000"/>
      <name val="Calibri"/>
      <scheme val="minor"/>
    </font>
    <font>
      <sz val="10"/>
      <color rgb="FF000000"/>
      <name val="Ebrima"/>
    </font>
    <font>
      <sz val="10"/>
      <name val="Calibri"/>
      <family val="2"/>
    </font>
    <font>
      <sz val="14"/>
      <color theme="1"/>
      <name val="Ebrima"/>
    </font>
    <font>
      <sz val="12"/>
      <color theme="1"/>
      <name val="Ebrima"/>
    </font>
    <font>
      <b/>
      <sz val="12"/>
      <color theme="1"/>
      <name val="Ebrima"/>
    </font>
    <font>
      <sz val="11"/>
      <color theme="1"/>
      <name val="Ebrima"/>
    </font>
    <font>
      <b/>
      <sz val="11"/>
      <color rgb="FFFFFFFF"/>
      <name val="Ebrima"/>
    </font>
    <font>
      <sz val="11"/>
      <color rgb="FF000000"/>
      <name val="Ebrima"/>
    </font>
    <font>
      <sz val="12"/>
      <color rgb="FF000000"/>
      <name val="Ebrima"/>
    </font>
    <font>
      <b/>
      <sz val="11"/>
      <color theme="1"/>
      <name val="Calibri"/>
      <family val="2"/>
    </font>
    <font>
      <sz val="11"/>
      <color theme="1"/>
      <name val="Calibri"/>
      <family val="2"/>
    </font>
    <font>
      <sz val="10"/>
      <color theme="1"/>
      <name val="Calibri"/>
      <family val="2"/>
    </font>
    <font>
      <b/>
      <sz val="11"/>
      <color rgb="FFFFFFFF"/>
      <name val="Calibri"/>
      <family val="2"/>
    </font>
    <font>
      <b/>
      <sz val="11"/>
      <color theme="0"/>
      <name val="Calibri"/>
      <family val="2"/>
    </font>
    <font>
      <sz val="14"/>
      <color rgb="FFFFFFFF"/>
      <name val="Arial"/>
      <family val="2"/>
    </font>
    <font>
      <sz val="11"/>
      <color rgb="FF17365D"/>
      <name val="Calibri"/>
      <family val="2"/>
    </font>
    <font>
      <b/>
      <sz val="11"/>
      <color rgb="FF17365D"/>
      <name val="Calibri"/>
      <family val="2"/>
    </font>
    <font>
      <sz val="10"/>
      <color theme="1"/>
      <name val="Arial"/>
      <family val="2"/>
    </font>
    <font>
      <b/>
      <sz val="11"/>
      <color rgb="FF1F2328"/>
      <name val="Calibri"/>
      <family val="2"/>
    </font>
    <font>
      <sz val="11"/>
      <color rgb="FF000000"/>
      <name val="Calibri"/>
      <family val="2"/>
    </font>
    <font>
      <sz val="11"/>
      <color rgb="FF9C5700"/>
      <name val="Calibri"/>
      <family val="2"/>
    </font>
    <font>
      <sz val="11"/>
      <color rgb="FF9C0006"/>
      <name val="Calibri"/>
      <family val="2"/>
    </font>
    <font>
      <sz val="11"/>
      <color rgb="FFC00000"/>
      <name val="Calibri"/>
      <family val="2"/>
    </font>
    <font>
      <sz val="11"/>
      <color rgb="FF4BACC6"/>
      <name val="Calibri"/>
      <family val="2"/>
    </font>
    <font>
      <b/>
      <sz val="11"/>
      <color rgb="FFC00000"/>
      <name val="Calibri"/>
      <family val="2"/>
    </font>
    <font>
      <u/>
      <sz val="11"/>
      <color theme="10"/>
      <name val="Calibri"/>
      <family val="2"/>
    </font>
    <font>
      <sz val="11"/>
      <color rgb="FF1F2328"/>
      <name val="Calibri"/>
      <family val="2"/>
    </font>
  </fonts>
  <fills count="16">
    <fill>
      <patternFill patternType="none"/>
    </fill>
    <fill>
      <patternFill patternType="gray125"/>
    </fill>
    <fill>
      <patternFill patternType="solid">
        <fgColor rgb="FFC9DAF8"/>
        <bgColor rgb="FFC9DAF8"/>
      </patternFill>
    </fill>
    <fill>
      <patternFill patternType="solid">
        <fgColor rgb="FF3790BC"/>
        <bgColor rgb="FF3790BC"/>
      </patternFill>
    </fill>
    <fill>
      <patternFill patternType="solid">
        <fgColor rgb="FF548DD4"/>
        <bgColor rgb="FF548DD4"/>
      </patternFill>
    </fill>
    <fill>
      <patternFill patternType="solid">
        <fgColor theme="0"/>
        <bgColor theme="0"/>
      </patternFill>
    </fill>
    <fill>
      <patternFill patternType="solid">
        <fgColor rgb="FFC2D69B"/>
        <bgColor rgb="FFC2D69B"/>
      </patternFill>
    </fill>
    <fill>
      <patternFill patternType="solid">
        <fgColor rgb="FFFFC000"/>
        <bgColor rgb="FFFFC000"/>
      </patternFill>
    </fill>
    <fill>
      <patternFill patternType="solid">
        <fgColor rgb="FFBFBFBF"/>
        <bgColor rgb="FFBFBFBF"/>
      </patternFill>
    </fill>
    <fill>
      <patternFill patternType="solid">
        <fgColor rgb="FFFFFFFF"/>
        <bgColor rgb="FFFFFFFF"/>
      </patternFill>
    </fill>
    <fill>
      <patternFill patternType="solid">
        <fgColor rgb="FFF3F3F3"/>
        <bgColor rgb="FFF3F3F3"/>
      </patternFill>
    </fill>
    <fill>
      <patternFill patternType="solid">
        <fgColor rgb="FF92D050"/>
        <bgColor rgb="FF92D050"/>
      </patternFill>
    </fill>
    <fill>
      <patternFill patternType="solid">
        <fgColor rgb="FFFFFF99"/>
        <bgColor rgb="FFFFFF99"/>
      </patternFill>
    </fill>
    <fill>
      <patternFill patternType="solid">
        <fgColor rgb="FFB3E6FF"/>
        <bgColor rgb="FFB3E6FF"/>
      </patternFill>
    </fill>
    <fill>
      <patternFill patternType="solid">
        <fgColor rgb="FFCCE9AD"/>
        <bgColor rgb="FFCCE9AD"/>
      </patternFill>
    </fill>
    <fill>
      <patternFill patternType="solid">
        <fgColor rgb="FFA3E0FF"/>
        <bgColor rgb="FFA3E0FF"/>
      </patternFill>
    </fill>
  </fills>
  <borders count="3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1">
    <xf numFmtId="0" fontId="0" fillId="0" borderId="0" xfId="0"/>
    <xf numFmtId="0" fontId="1" fillId="0" borderId="0" xfId="0" applyFont="1"/>
    <xf numFmtId="0" fontId="7" fillId="3" borderId="13" xfId="0" applyFont="1" applyFill="1" applyBorder="1" applyAlignment="1">
      <alignment horizontal="center" vertical="center" wrapText="1"/>
    </xf>
    <xf numFmtId="0" fontId="7" fillId="3" borderId="14" xfId="0" applyFont="1" applyFill="1" applyBorder="1" applyAlignment="1">
      <alignment horizontal="center" vertical="center" wrapText="1"/>
    </xf>
    <xf numFmtId="49" fontId="8" fillId="0" borderId="11" xfId="0" applyNumberFormat="1" applyFont="1" applyBorder="1" applyAlignment="1">
      <alignment horizontal="center" vertical="center" wrapText="1"/>
    </xf>
    <xf numFmtId="164" fontId="6" fillId="0" borderId="7" xfId="0" applyNumberFormat="1" applyFont="1" applyBorder="1" applyAlignment="1">
      <alignment horizontal="center" vertical="center"/>
    </xf>
    <xf numFmtId="0" fontId="8" fillId="0" borderId="11" xfId="0" applyFont="1" applyBorder="1"/>
    <xf numFmtId="0" fontId="8" fillId="0" borderId="13" xfId="0" applyFont="1" applyBorder="1" applyAlignment="1">
      <alignment horizontal="left"/>
    </xf>
    <xf numFmtId="49" fontId="8" fillId="0" borderId="13" xfId="0" applyNumberFormat="1" applyFont="1" applyBorder="1" applyAlignment="1">
      <alignment horizontal="center" vertical="center" wrapText="1"/>
    </xf>
    <xf numFmtId="164" fontId="6" fillId="0" borderId="13" xfId="0" applyNumberFormat="1" applyFont="1" applyBorder="1" applyAlignment="1">
      <alignment horizontal="center" vertical="center"/>
    </xf>
    <xf numFmtId="0" fontId="8" fillId="0" borderId="7" xfId="0" applyFont="1" applyBorder="1"/>
    <xf numFmtId="0" fontId="8" fillId="0" borderId="13" xfId="0" applyFont="1" applyBorder="1"/>
    <xf numFmtId="0" fontId="8" fillId="0" borderId="13" xfId="0" applyFont="1" applyBorder="1" applyAlignment="1">
      <alignment vertical="center"/>
    </xf>
    <xf numFmtId="0" fontId="8" fillId="0" borderId="13" xfId="0" applyFont="1" applyBorder="1" applyAlignment="1">
      <alignment horizontal="left" vertical="center"/>
    </xf>
    <xf numFmtId="0" fontId="9" fillId="0" borderId="0" xfId="0" applyFont="1"/>
    <xf numFmtId="0" fontId="9" fillId="0" borderId="0" xfId="0" applyFont="1" applyAlignment="1">
      <alignment horizontal="left"/>
    </xf>
    <xf numFmtId="0" fontId="11" fillId="0" borderId="0" xfId="0" applyFont="1"/>
    <xf numFmtId="164" fontId="12" fillId="0" borderId="0" xfId="0" applyNumberFormat="1" applyFont="1"/>
    <xf numFmtId="0" fontId="13" fillId="4" borderId="13" xfId="0" applyFont="1" applyFill="1" applyBorder="1" applyAlignment="1">
      <alignment wrapText="1"/>
    </xf>
    <xf numFmtId="49" fontId="10" fillId="5" borderId="13" xfId="0" applyNumberFormat="1" applyFont="1" applyFill="1" applyBorder="1" applyAlignment="1">
      <alignment horizontal="center" vertical="center"/>
    </xf>
    <xf numFmtId="0" fontId="10" fillId="5" borderId="15" xfId="0" applyFont="1" applyFill="1" applyBorder="1" applyAlignment="1">
      <alignment horizontal="left" vertical="center"/>
    </xf>
    <xf numFmtId="0" fontId="14" fillId="4" borderId="16" xfId="0" applyFont="1" applyFill="1" applyBorder="1" applyAlignment="1">
      <alignment wrapText="1"/>
    </xf>
    <xf numFmtId="0" fontId="10" fillId="5" borderId="17" xfId="0" applyFont="1" applyFill="1" applyBorder="1" applyAlignment="1">
      <alignment horizontal="center" vertical="center"/>
    </xf>
    <xf numFmtId="0" fontId="11" fillId="0" borderId="0" xfId="0" applyFont="1" applyAlignment="1">
      <alignment horizontal="center"/>
    </xf>
    <xf numFmtId="0" fontId="14" fillId="4" borderId="18" xfId="0" applyFont="1" applyFill="1" applyBorder="1" applyAlignment="1">
      <alignment wrapText="1"/>
    </xf>
    <xf numFmtId="0" fontId="14" fillId="4" borderId="13" xfId="0" applyFont="1" applyFill="1" applyBorder="1" applyAlignment="1">
      <alignment horizontal="center" wrapText="1"/>
    </xf>
    <xf numFmtId="0" fontId="14" fillId="4" borderId="19" xfId="0" applyFont="1" applyFill="1" applyBorder="1" applyAlignment="1">
      <alignment horizontal="center" wrapText="1"/>
    </xf>
    <xf numFmtId="0" fontId="15" fillId="0" borderId="0" xfId="0" applyFont="1" applyAlignment="1">
      <alignment horizontal="center" wrapText="1"/>
    </xf>
    <xf numFmtId="0" fontId="16" fillId="5" borderId="14" xfId="0" applyFont="1" applyFill="1" applyBorder="1" applyAlignment="1">
      <alignment horizontal="left"/>
    </xf>
    <xf numFmtId="0" fontId="16" fillId="5" borderId="13" xfId="0" applyFont="1" applyFill="1" applyBorder="1" applyAlignment="1">
      <alignment horizontal="right" wrapText="1"/>
    </xf>
    <xf numFmtId="0" fontId="16" fillId="5" borderId="19" xfId="0" applyFont="1" applyFill="1" applyBorder="1" applyAlignment="1">
      <alignment horizontal="right" wrapText="1"/>
    </xf>
    <xf numFmtId="10" fontId="16" fillId="5" borderId="19" xfId="0" applyNumberFormat="1" applyFont="1" applyFill="1" applyBorder="1" applyAlignment="1">
      <alignment horizontal="right" wrapText="1"/>
    </xf>
    <xf numFmtId="0" fontId="17" fillId="5" borderId="13" xfId="0" applyFont="1" applyFill="1" applyBorder="1" applyAlignment="1">
      <alignment horizontal="center" vertical="center" wrapText="1"/>
    </xf>
    <xf numFmtId="0" fontId="17" fillId="5" borderId="13" xfId="0" applyFont="1" applyFill="1" applyBorder="1" applyAlignment="1">
      <alignment horizontal="center" vertical="center"/>
    </xf>
    <xf numFmtId="0" fontId="18" fillId="0" borderId="0" xfId="0" applyFont="1"/>
    <xf numFmtId="0" fontId="11" fillId="0" borderId="0" xfId="0" applyFont="1" applyAlignment="1">
      <alignment horizontal="right"/>
    </xf>
    <xf numFmtId="10" fontId="11" fillId="0" borderId="0" xfId="0" applyNumberFormat="1" applyFont="1" applyAlignment="1">
      <alignment horizontal="right"/>
    </xf>
    <xf numFmtId="0" fontId="10" fillId="0" borderId="0" xfId="0" applyFont="1"/>
    <xf numFmtId="0" fontId="14" fillId="4" borderId="13" xfId="0" applyFont="1" applyFill="1" applyBorder="1" applyAlignment="1">
      <alignment horizontal="left"/>
    </xf>
    <xf numFmtId="0" fontId="16" fillId="6" borderId="13" xfId="0" applyFont="1" applyFill="1" applyBorder="1" applyAlignment="1">
      <alignment horizontal="right" wrapText="1"/>
    </xf>
    <xf numFmtId="0" fontId="16" fillId="7" borderId="13" xfId="0" applyFont="1" applyFill="1" applyBorder="1" applyAlignment="1">
      <alignment horizontal="right" wrapText="1"/>
    </xf>
    <xf numFmtId="0" fontId="16" fillId="8" borderId="13" xfId="0" applyFont="1" applyFill="1" applyBorder="1" applyAlignment="1">
      <alignment horizontal="right" wrapText="1"/>
    </xf>
    <xf numFmtId="0" fontId="18" fillId="0" borderId="0" xfId="0" applyFont="1" applyAlignment="1">
      <alignment horizontal="center"/>
    </xf>
    <xf numFmtId="0" fontId="19" fillId="9" borderId="13" xfId="0" applyFont="1" applyFill="1" applyBorder="1" applyAlignment="1">
      <alignment vertical="top" wrapText="1"/>
    </xf>
    <xf numFmtId="0" fontId="19" fillId="9" borderId="15" xfId="0" applyFont="1" applyFill="1" applyBorder="1" applyAlignment="1">
      <alignment vertical="top" wrapText="1"/>
    </xf>
    <xf numFmtId="0" fontId="19" fillId="9" borderId="15" xfId="0" applyFont="1" applyFill="1" applyBorder="1"/>
    <xf numFmtId="0" fontId="19" fillId="10" borderId="13" xfId="0" applyFont="1" applyFill="1" applyBorder="1" applyAlignment="1">
      <alignment vertical="top" wrapText="1"/>
    </xf>
    <xf numFmtId="0" fontId="13" fillId="4" borderId="13" xfId="0" applyFont="1" applyFill="1" applyBorder="1" applyAlignment="1">
      <alignment horizontal="center" vertical="center"/>
    </xf>
    <xf numFmtId="0" fontId="14" fillId="4" borderId="13" xfId="0" applyFont="1" applyFill="1" applyBorder="1" applyAlignment="1">
      <alignment horizontal="center" vertical="center"/>
    </xf>
    <xf numFmtId="0" fontId="14" fillId="4" borderId="13" xfId="0" applyFont="1" applyFill="1" applyBorder="1" applyAlignment="1">
      <alignment horizontal="center" vertical="center" wrapText="1"/>
    </xf>
    <xf numFmtId="0" fontId="20" fillId="5" borderId="17" xfId="0" applyFont="1" applyFill="1" applyBorder="1" applyAlignment="1">
      <alignment horizontal="center" vertical="center"/>
    </xf>
    <xf numFmtId="0" fontId="11" fillId="11" borderId="17" xfId="0" applyFont="1" applyFill="1" applyBorder="1" applyAlignment="1">
      <alignment horizontal="center" vertical="center"/>
    </xf>
    <xf numFmtId="0" fontId="11" fillId="0" borderId="11" xfId="0" applyFont="1" applyBorder="1" applyAlignment="1">
      <alignment horizontal="center" vertical="center" wrapText="1"/>
    </xf>
    <xf numFmtId="0" fontId="11" fillId="0" borderId="11" xfId="0" applyFont="1" applyBorder="1"/>
    <xf numFmtId="0" fontId="11" fillId="0" borderId="11" xfId="0" applyFont="1" applyBorder="1" applyAlignment="1">
      <alignment horizontal="left" vertical="center" wrapText="1"/>
    </xf>
    <xf numFmtId="0" fontId="11" fillId="0" borderId="11" xfId="0" applyFont="1" applyBorder="1" applyAlignment="1">
      <alignment horizontal="center" vertical="center"/>
    </xf>
    <xf numFmtId="0" fontId="20" fillId="5" borderId="13" xfId="0" applyFont="1" applyFill="1" applyBorder="1" applyAlignment="1">
      <alignment horizontal="center" vertical="center"/>
    </xf>
    <xf numFmtId="0" fontId="11" fillId="11" borderId="13" xfId="0" applyFont="1" applyFill="1" applyBorder="1" applyAlignment="1">
      <alignment horizontal="center" vertical="center"/>
    </xf>
    <xf numFmtId="0" fontId="11" fillId="0" borderId="13" xfId="0" applyFont="1" applyBorder="1" applyAlignment="1">
      <alignment horizontal="center" vertical="center" wrapText="1"/>
    </xf>
    <xf numFmtId="0" fontId="11" fillId="0" borderId="13" xfId="0" applyFont="1" applyBorder="1"/>
    <xf numFmtId="0" fontId="11" fillId="0" borderId="13" xfId="0" applyFont="1" applyBorder="1" applyAlignment="1">
      <alignment horizontal="left" vertical="center" wrapText="1"/>
    </xf>
    <xf numFmtId="0" fontId="20" fillId="5" borderId="24" xfId="0" applyFont="1" applyFill="1" applyBorder="1" applyAlignment="1">
      <alignment horizontal="center" vertical="center"/>
    </xf>
    <xf numFmtId="0" fontId="11" fillId="11" borderId="24" xfId="0" applyFont="1" applyFill="1" applyBorder="1" applyAlignment="1">
      <alignment horizontal="center" vertical="center"/>
    </xf>
    <xf numFmtId="0" fontId="11" fillId="0" borderId="24" xfId="0" applyFont="1" applyBorder="1" applyAlignment="1">
      <alignment horizontal="center" vertical="center" wrapText="1"/>
    </xf>
    <xf numFmtId="0" fontId="11" fillId="0" borderId="24" xfId="0" applyFont="1" applyBorder="1"/>
    <xf numFmtId="0" fontId="11" fillId="0" borderId="24" xfId="0" applyFont="1" applyBorder="1" applyAlignment="1">
      <alignment horizontal="left" vertical="center" wrapText="1"/>
    </xf>
    <xf numFmtId="0" fontId="11" fillId="0" borderId="23" xfId="0" applyFont="1" applyBorder="1" applyAlignment="1">
      <alignment horizontal="center" vertical="center"/>
    </xf>
    <xf numFmtId="0" fontId="11" fillId="0" borderId="23" xfId="0" applyFont="1" applyBorder="1" applyAlignment="1">
      <alignment horizontal="left" vertical="center" wrapText="1"/>
    </xf>
    <xf numFmtId="0" fontId="11" fillId="0" borderId="23" xfId="0" applyFont="1" applyBorder="1" applyAlignment="1">
      <alignment horizontal="center" vertical="center" wrapText="1"/>
    </xf>
    <xf numFmtId="0" fontId="13" fillId="4" borderId="26" xfId="0" applyFont="1" applyFill="1" applyBorder="1" applyAlignment="1">
      <alignment horizontal="center" vertical="center" wrapText="1"/>
    </xf>
    <xf numFmtId="0" fontId="20" fillId="5" borderId="26" xfId="0" applyFont="1" applyFill="1" applyBorder="1" applyAlignment="1">
      <alignment horizontal="center" vertical="center"/>
    </xf>
    <xf numFmtId="0" fontId="11" fillId="11" borderId="26" xfId="0" applyFont="1" applyFill="1" applyBorder="1" applyAlignment="1">
      <alignment horizontal="center" vertical="center"/>
    </xf>
    <xf numFmtId="0" fontId="11" fillId="0" borderId="23" xfId="0" applyFont="1" applyBorder="1"/>
    <xf numFmtId="0" fontId="11" fillId="12" borderId="17" xfId="0" applyFont="1" applyFill="1" applyBorder="1" applyAlignment="1">
      <alignment horizontal="center" vertical="center"/>
    </xf>
    <xf numFmtId="0" fontId="11" fillId="12" borderId="26" xfId="0" applyFont="1" applyFill="1" applyBorder="1" applyAlignment="1">
      <alignment horizontal="center" vertical="center"/>
    </xf>
    <xf numFmtId="0" fontId="11" fillId="13" borderId="17" xfId="0" applyFont="1" applyFill="1" applyBorder="1" applyAlignment="1">
      <alignment horizontal="center" vertical="center"/>
    </xf>
    <xf numFmtId="0" fontId="11" fillId="13" borderId="26" xfId="0" applyFont="1" applyFill="1" applyBorder="1" applyAlignment="1">
      <alignment horizontal="center" vertical="center"/>
    </xf>
    <xf numFmtId="0" fontId="11" fillId="14" borderId="17" xfId="0" applyFont="1" applyFill="1" applyBorder="1" applyAlignment="1">
      <alignment horizontal="center" vertical="center"/>
    </xf>
    <xf numFmtId="0" fontId="11" fillId="14" borderId="26" xfId="0" applyFont="1" applyFill="1" applyBorder="1" applyAlignment="1">
      <alignment horizontal="center" vertical="center"/>
    </xf>
    <xf numFmtId="0" fontId="21" fillId="0" borderId="11" xfId="0" applyFont="1" applyBorder="1" applyAlignment="1">
      <alignment horizontal="left" vertical="center" wrapText="1"/>
    </xf>
    <xf numFmtId="0" fontId="11" fillId="14" borderId="17" xfId="0" applyFont="1" applyFill="1" applyBorder="1" applyAlignment="1">
      <alignment horizontal="center" vertical="center" wrapText="1"/>
    </xf>
    <xf numFmtId="0" fontId="11" fillId="14" borderId="26" xfId="0" applyFont="1" applyFill="1" applyBorder="1" applyAlignment="1">
      <alignment horizontal="center" vertical="center" wrapText="1"/>
    </xf>
    <xf numFmtId="0" fontId="13" fillId="4" borderId="13"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11" fillId="0" borderId="24" xfId="0" applyFont="1" applyBorder="1" applyAlignment="1">
      <alignment wrapText="1"/>
    </xf>
    <xf numFmtId="0" fontId="11" fillId="0" borderId="8" xfId="0" applyFont="1" applyBorder="1" applyAlignment="1">
      <alignment horizontal="left" vertical="center" wrapText="1"/>
    </xf>
    <xf numFmtId="0" fontId="11" fillId="0" borderId="11" xfId="0" applyFont="1" applyBorder="1" applyAlignment="1">
      <alignment wrapText="1"/>
    </xf>
    <xf numFmtId="0" fontId="20" fillId="0" borderId="13" xfId="0" applyFont="1" applyBorder="1" applyAlignment="1">
      <alignment wrapText="1"/>
    </xf>
    <xf numFmtId="0" fontId="11" fillId="0" borderId="0" xfId="0" applyFont="1" applyAlignment="1">
      <alignment wrapText="1"/>
    </xf>
    <xf numFmtId="0" fontId="11" fillId="0" borderId="27" xfId="0" applyFont="1" applyBorder="1" applyAlignment="1">
      <alignment horizontal="center" vertical="center"/>
    </xf>
    <xf numFmtId="0" fontId="11" fillId="0" borderId="28" xfId="0" applyFont="1" applyBorder="1" applyAlignment="1">
      <alignment horizontal="left" vertical="center" wrapText="1"/>
    </xf>
    <xf numFmtId="0" fontId="11" fillId="15" borderId="17" xfId="0" applyFont="1" applyFill="1" applyBorder="1" applyAlignment="1">
      <alignment horizontal="center" vertical="center"/>
    </xf>
    <xf numFmtId="0" fontId="11" fillId="15" borderId="26" xfId="0" applyFont="1" applyFill="1" applyBorder="1" applyAlignment="1">
      <alignment horizontal="center" vertical="center"/>
    </xf>
    <xf numFmtId="0" fontId="14" fillId="4" borderId="26" xfId="0" applyFont="1" applyFill="1" applyBorder="1" applyAlignment="1">
      <alignment horizontal="center" vertical="center" wrapText="1"/>
    </xf>
    <xf numFmtId="0" fontId="22" fillId="0" borderId="23" xfId="0" applyFont="1" applyBorder="1" applyAlignment="1">
      <alignment horizontal="left" vertical="center" wrapText="1"/>
    </xf>
    <xf numFmtId="0" fontId="11" fillId="0" borderId="13" xfId="0" applyFont="1" applyBorder="1" applyAlignment="1">
      <alignment vertical="center" wrapText="1"/>
    </xf>
    <xf numFmtId="0" fontId="11" fillId="0" borderId="11" xfId="0" applyFont="1" applyBorder="1" applyAlignment="1">
      <alignment vertical="center" wrapText="1"/>
    </xf>
    <xf numFmtId="0" fontId="11" fillId="0" borderId="7" xfId="0" applyFont="1" applyBorder="1" applyAlignment="1">
      <alignment vertical="center" wrapText="1"/>
    </xf>
    <xf numFmtId="0" fontId="11" fillId="0" borderId="8" xfId="0" applyFont="1" applyBorder="1" applyAlignment="1">
      <alignment horizontal="center" vertical="center"/>
    </xf>
    <xf numFmtId="0" fontId="21" fillId="0" borderId="9" xfId="0" applyFont="1" applyBorder="1" applyAlignment="1">
      <alignment horizontal="left" vertical="center" wrapText="1"/>
    </xf>
    <xf numFmtId="0" fontId="11" fillId="0" borderId="13" xfId="0" applyFont="1" applyBorder="1" applyAlignment="1">
      <alignment wrapText="1"/>
    </xf>
    <xf numFmtId="0" fontId="23" fillId="0" borderId="11" xfId="0" applyFont="1" applyBorder="1" applyAlignment="1">
      <alignment horizontal="left" vertical="center" wrapText="1"/>
    </xf>
    <xf numFmtId="0" fontId="11" fillId="0" borderId="24" xfId="0" applyFont="1" applyBorder="1" applyAlignment="1">
      <alignment vertical="center" wrapText="1"/>
    </xf>
    <xf numFmtId="0" fontId="24" fillId="0" borderId="11" xfId="0" applyFont="1" applyBorder="1" applyAlignment="1">
      <alignment horizontal="center" vertical="center"/>
    </xf>
    <xf numFmtId="0" fontId="25" fillId="0" borderId="13" xfId="0" applyFont="1" applyBorder="1" applyAlignment="1">
      <alignment horizontal="left" vertical="center" wrapText="1"/>
    </xf>
    <xf numFmtId="0" fontId="26" fillId="0" borderId="11" xfId="0" applyFont="1" applyBorder="1" applyAlignment="1">
      <alignment horizontal="left" vertical="center" wrapText="1"/>
    </xf>
    <xf numFmtId="0" fontId="24" fillId="0" borderId="23" xfId="0" applyFont="1" applyBorder="1" applyAlignment="1">
      <alignment horizontal="center" vertical="center"/>
    </xf>
    <xf numFmtId="0" fontId="2" fillId="0" borderId="2" xfId="0" applyFont="1" applyBorder="1"/>
    <xf numFmtId="0" fontId="2" fillId="0" borderId="9" xfId="0" applyFont="1" applyBorder="1"/>
    <xf numFmtId="0" fontId="2" fillId="0" borderId="3" xfId="0" applyFont="1" applyBorder="1"/>
    <xf numFmtId="0" fontId="2" fillId="0" borderId="10" xfId="0" applyFont="1" applyBorder="1"/>
    <xf numFmtId="0" fontId="2" fillId="0" borderId="5" xfId="0" applyFont="1" applyBorder="1"/>
    <xf numFmtId="0" fontId="2" fillId="0" borderId="11" xfId="0" applyFont="1" applyBorder="1"/>
    <xf numFmtId="0" fontId="5" fillId="2" borderId="4" xfId="0" applyFont="1" applyFill="1" applyBorder="1" applyAlignment="1">
      <alignment horizontal="left" vertical="center"/>
    </xf>
    <xf numFmtId="0" fontId="2" fillId="0" borderId="12" xfId="0" applyFont="1" applyBorder="1"/>
    <xf numFmtId="0" fontId="6" fillId="0" borderId="1" xfId="0" applyFont="1" applyBorder="1"/>
    <xf numFmtId="0" fontId="8" fillId="0" borderId="4" xfId="0" applyFont="1" applyBorder="1" applyAlignment="1">
      <alignment horizontal="left" vertical="center" wrapText="1"/>
    </xf>
    <xf numFmtId="0" fontId="6" fillId="0" borderId="4" xfId="0" applyFont="1" applyBorder="1"/>
    <xf numFmtId="0" fontId="6" fillId="0" borderId="8" xfId="0" applyFont="1" applyBorder="1" applyAlignment="1">
      <alignment vertical="center"/>
    </xf>
    <xf numFmtId="0" fontId="7" fillId="3" borderId="4" xfId="0" applyFont="1" applyFill="1" applyBorder="1" applyAlignment="1">
      <alignment horizontal="center" vertical="center" wrapText="1"/>
    </xf>
    <xf numFmtId="0" fontId="10" fillId="2" borderId="4" xfId="0" applyFont="1" applyFill="1" applyBorder="1" applyAlignment="1">
      <alignment horizontal="left" vertical="center"/>
    </xf>
    <xf numFmtId="0" fontId="16" fillId="5" borderId="20" xfId="0" applyFont="1" applyFill="1" applyBorder="1" applyAlignment="1">
      <alignment horizontal="right"/>
    </xf>
    <xf numFmtId="0" fontId="2" fillId="0" borderId="21" xfId="0" applyFont="1" applyBorder="1"/>
    <xf numFmtId="0" fontId="13" fillId="4" borderId="25" xfId="0" applyFont="1" applyFill="1" applyBorder="1" applyAlignment="1">
      <alignment horizontal="center" vertical="center" wrapText="1"/>
    </xf>
    <xf numFmtId="0" fontId="2" fillId="0" borderId="22" xfId="0" applyFont="1" applyBorder="1"/>
    <xf numFmtId="0" fontId="2" fillId="0" borderId="23" xfId="0" applyFont="1" applyBorder="1"/>
    <xf numFmtId="0" fontId="14" fillId="4" borderId="25"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14" fillId="4" borderId="7" xfId="0" applyFont="1" applyFill="1" applyBorder="1" applyAlignment="1">
      <alignment horizontal="center" vertical="center" wrapText="1"/>
    </xf>
    <xf numFmtId="14" fontId="2" fillId="0" borderId="11" xfId="0" applyNumberFormat="1" applyFont="1" applyBorder="1"/>
    <xf numFmtId="14" fontId="4" fillId="0" borderId="25" xfId="0" applyNumberFormat="1" applyFont="1" applyBorder="1" applyAlignment="1">
      <alignment horizontal="center" vertical="center"/>
    </xf>
    <xf numFmtId="0" fontId="4" fillId="0" borderId="29" xfId="0" applyFont="1" applyBorder="1" applyAlignment="1">
      <alignment horizontal="center" vertical="center"/>
    </xf>
    <xf numFmtId="0" fontId="1" fillId="0" borderId="29" xfId="0" applyFont="1" applyBorder="1" applyAlignment="1">
      <alignment horizontal="center"/>
    </xf>
    <xf numFmtId="0" fontId="4" fillId="0" borderId="30" xfId="0" applyFont="1" applyBorder="1" applyAlignment="1">
      <alignment horizontal="center" vertical="center"/>
    </xf>
    <xf numFmtId="0" fontId="4" fillId="0" borderId="6" xfId="0" applyFont="1" applyBorder="1" applyAlignment="1">
      <alignment horizontal="center" vertical="center"/>
    </xf>
    <xf numFmtId="0" fontId="3" fillId="0" borderId="29" xfId="0" applyFont="1" applyBorder="1" applyAlignment="1">
      <alignment horizontal="center" vertical="center"/>
    </xf>
    <xf numFmtId="0" fontId="8" fillId="0" borderId="8" xfId="0" applyFont="1" applyBorder="1" applyAlignment="1">
      <alignment horizontal="center" vertical="center" wrapText="1"/>
    </xf>
    <xf numFmtId="0" fontId="2" fillId="0" borderId="10" xfId="0" applyFont="1" applyBorder="1" applyAlignment="1">
      <alignment horizontal="center"/>
    </xf>
    <xf numFmtId="0" fontId="2" fillId="0" borderId="9" xfId="0" applyFont="1" applyBorder="1" applyAlignment="1">
      <alignment horizontal="center"/>
    </xf>
    <xf numFmtId="0" fontId="8" fillId="0" borderId="11" xfId="0" applyFont="1" applyBorder="1" applyAlignment="1">
      <alignment horizontal="center"/>
    </xf>
    <xf numFmtId="0" fontId="8" fillId="0" borderId="13" xfId="0" applyFont="1" applyBorder="1" applyAlignment="1">
      <alignment horizontal="center"/>
    </xf>
  </cellXfs>
  <cellStyles count="1">
    <cellStyle name="Normale" xfId="0" builtinId="0"/>
  </cellStyles>
  <dxfs count="184">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F2F2F2"/>
          <bgColor rgb="FFF2F2F2"/>
        </patternFill>
      </fill>
    </dxf>
    <dxf>
      <font>
        <b/>
        <i/>
        <strike/>
        <color rgb="FFA5A5A5"/>
      </font>
      <fill>
        <patternFill patternType="none"/>
      </fill>
    </dxf>
    <dxf>
      <fill>
        <patternFill patternType="solid">
          <fgColor rgb="FFB8CCE4"/>
          <bgColor rgb="FFB8CCE4"/>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ill>
        <patternFill patternType="solid">
          <fgColor rgb="FFF2F2F2"/>
          <bgColor rgb="FFF2F2F2"/>
        </patternFill>
      </fill>
    </dxf>
    <dxf>
      <font>
        <b/>
        <i/>
        <strike/>
        <color rgb="FFA5A5A5"/>
      </font>
      <fill>
        <patternFill patternType="none"/>
      </fill>
    </dxf>
    <dxf>
      <font>
        <b/>
        <i/>
        <strike/>
        <color rgb="FFA5A5A5"/>
      </font>
      <fill>
        <patternFill patternType="none"/>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ill>
        <patternFill patternType="solid">
          <fgColor rgb="FFFFFFCC"/>
          <bgColor rgb="FFFFFFCC"/>
        </patternFill>
      </fill>
    </dxf>
    <dxf>
      <fill>
        <patternFill patternType="solid">
          <fgColor rgb="FFEAF1DD"/>
          <bgColor rgb="FFEAF1DD"/>
        </patternFill>
      </fill>
    </dxf>
    <dxf>
      <font>
        <b/>
        <i/>
        <strike/>
        <color rgb="FFA5A5A5"/>
      </font>
      <fill>
        <patternFill patternType="none"/>
      </fill>
    </dxf>
    <dxf>
      <fill>
        <patternFill patternType="solid">
          <fgColor rgb="FFB8CCE4"/>
          <bgColor rgb="FFB8CCE4"/>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ont>
        <b/>
        <i/>
        <strike/>
        <color rgb="FFA5A5A5"/>
      </font>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B8CCE4"/>
          <bgColor rgb="FFB8CCE4"/>
        </patternFill>
      </fill>
    </dxf>
    <dxf>
      <fill>
        <patternFill patternType="solid">
          <fgColor rgb="FFF2F2F2"/>
          <bgColor rgb="FFF2F2F2"/>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ont>
        <b/>
        <i/>
        <strike/>
        <color rgb="FFA5A5A5"/>
      </font>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B8CCE4"/>
          <bgColor rgb="FFB8CCE4"/>
        </patternFill>
      </fill>
    </dxf>
    <dxf>
      <fill>
        <patternFill patternType="solid">
          <fgColor rgb="FFF2F2F2"/>
          <bgColor rgb="FFF2F2F2"/>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ont>
        <b/>
        <i/>
        <strike/>
        <color rgb="FFA5A5A5"/>
      </font>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B8CCE4"/>
          <bgColor rgb="FFB8CCE4"/>
        </patternFill>
      </fill>
    </dxf>
    <dxf>
      <fill>
        <patternFill patternType="solid">
          <fgColor rgb="FFF2F2F2"/>
          <bgColor rgb="FFF2F2F2"/>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ont>
        <b/>
        <i/>
        <strike/>
        <color rgb="FFA5A5A5"/>
      </font>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B8CCE4"/>
          <bgColor rgb="FFB8CCE4"/>
        </patternFill>
      </fill>
    </dxf>
    <dxf>
      <fill>
        <patternFill patternType="solid">
          <fgColor rgb="FFF2F2F2"/>
          <bgColor rgb="FFF2F2F2"/>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ont>
        <b/>
        <i/>
        <strike/>
        <color rgb="FFA5A5A5"/>
      </font>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B8CCE4"/>
          <bgColor rgb="FFB8CCE4"/>
        </patternFill>
      </fill>
    </dxf>
    <dxf>
      <fill>
        <patternFill patternType="solid">
          <fgColor rgb="FFF2F2F2"/>
          <bgColor rgb="FFF2F2F2"/>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F2F2F2"/>
          <bgColor rgb="FFF2F2F2"/>
        </patternFill>
      </fill>
    </dxf>
    <dxf>
      <font>
        <b/>
        <i/>
        <strike/>
        <color rgb="FFA5A5A5"/>
      </font>
      <fill>
        <patternFill patternType="none"/>
      </fill>
    </dxf>
    <dxf>
      <fill>
        <patternFill patternType="solid">
          <fgColor rgb="FFB8CCE4"/>
          <bgColor rgb="FFB8CCE4"/>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ont>
        <b/>
        <i/>
        <strike/>
        <color rgb="FFA5A5A5"/>
      </font>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B8CCE4"/>
          <bgColor rgb="FFB8CCE4"/>
        </patternFill>
      </fill>
    </dxf>
    <dxf>
      <fill>
        <patternFill patternType="solid">
          <fgColor rgb="FFF2F2F2"/>
          <bgColor rgb="FFF2F2F2"/>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ont>
        <b/>
        <i/>
        <strike/>
        <color rgb="FFA5A5A5"/>
      </font>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B8CCE4"/>
          <bgColor rgb="FFB8CCE4"/>
        </patternFill>
      </fill>
    </dxf>
    <dxf>
      <fill>
        <patternFill patternType="solid">
          <fgColor rgb="FFF2F2F2"/>
          <bgColor rgb="FFF2F2F2"/>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F2F2F2"/>
          <bgColor rgb="FFF2F2F2"/>
        </patternFill>
      </fill>
    </dxf>
    <dxf>
      <font>
        <b/>
        <i/>
        <strike/>
        <color rgb="FFA5A5A5"/>
      </font>
      <fill>
        <patternFill patternType="none"/>
      </fill>
    </dxf>
    <dxf>
      <fill>
        <patternFill patternType="solid">
          <fgColor rgb="FFB8CCE4"/>
          <bgColor rgb="FFB8CCE4"/>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ont>
        <b/>
        <i/>
        <strike/>
        <color rgb="FFA5A5A5"/>
      </font>
      <fill>
        <patternFill patternType="none"/>
      </fill>
    </dxf>
    <dxf>
      <fill>
        <patternFill patternType="solid">
          <fgColor rgb="FFFFFFCC"/>
          <bgColor rgb="FFFFFFCC"/>
        </patternFill>
      </fill>
    </dxf>
    <dxf>
      <fill>
        <patternFill patternType="solid">
          <fgColor rgb="FFEAF1DD"/>
          <bgColor rgb="FFEAF1DD"/>
        </patternFill>
      </fill>
    </dxf>
    <dxf>
      <fill>
        <patternFill patternType="solid">
          <fgColor rgb="FFB8CCE4"/>
          <bgColor rgb="FFB8CCE4"/>
        </patternFill>
      </fill>
    </dxf>
    <dxf>
      <fill>
        <patternFill patternType="solid">
          <fgColor rgb="FFF2F2F2"/>
          <bgColor rgb="FFF2F2F2"/>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none"/>
      </fill>
    </dxf>
    <dxf>
      <font>
        <b/>
        <i/>
        <strike/>
        <color rgb="FFA5A5A5"/>
      </font>
      <fill>
        <patternFill patternType="none"/>
      </fill>
    </dxf>
    <dxf>
      <fill>
        <patternFill patternType="solid">
          <fgColor rgb="FFEAF1DD"/>
          <bgColor rgb="FFEAF1DD"/>
        </patternFill>
      </fill>
    </dxf>
    <dxf>
      <fill>
        <patternFill patternType="solid">
          <fgColor rgb="FFF2F2F2"/>
          <bgColor rgb="FFF2F2F2"/>
        </patternFill>
      </fill>
    </dxf>
    <dxf>
      <fill>
        <patternFill patternType="solid">
          <fgColor rgb="FFFFFFCC"/>
          <bgColor rgb="FFFFFFCC"/>
        </patternFill>
      </fill>
    </dxf>
    <dxf>
      <fill>
        <patternFill patternType="solid">
          <fgColor rgb="FFB8CCE4"/>
          <bgColor rgb="FFB8CCE4"/>
        </patternFill>
      </fill>
    </dxf>
    <dxf>
      <font>
        <b/>
        <color rgb="FFE36C09"/>
      </font>
      <fill>
        <patternFill patternType="solid">
          <fgColor rgb="FFF2F2F2"/>
          <bgColor rgb="FFF2F2F2"/>
        </patternFill>
      </fill>
    </dxf>
    <dxf>
      <font>
        <b/>
        <color rgb="FF1F497D"/>
      </font>
      <fill>
        <patternFill patternType="solid">
          <fgColor rgb="FFB8CCE4"/>
          <bgColor rgb="FFB8CCE4"/>
        </patternFill>
      </fill>
    </dxf>
    <dxf>
      <font>
        <b/>
        <color theme="8"/>
      </font>
      <fill>
        <patternFill patternType="solid">
          <fgColor rgb="FFF8FFD1"/>
          <bgColor rgb="FFF8FFD1"/>
        </patternFill>
      </fill>
    </dxf>
    <dxf>
      <font>
        <b/>
        <color rgb="FF76923C"/>
      </font>
      <fill>
        <patternFill patternType="solid">
          <fgColor rgb="FFEAF1DD"/>
          <bgColor rgb="FFEAF1DD"/>
        </patternFill>
      </fill>
    </dxf>
    <dxf>
      <fill>
        <patternFill patternType="none"/>
      </fill>
    </dxf>
    <dxf>
      <fill>
        <patternFill patternType="solid">
          <fgColor rgb="FFEAF1DD"/>
          <bgColor rgb="FFEAF1DD"/>
        </patternFill>
      </fill>
    </dxf>
    <dxf>
      <font>
        <b/>
        <i/>
        <color rgb="FF595959"/>
      </font>
      <fill>
        <patternFill patternType="solid">
          <fgColor rgb="FFBFBFBF"/>
          <bgColor rgb="FFBFBFBF"/>
        </patternFill>
      </fill>
    </dxf>
    <dxf>
      <font>
        <b/>
        <i/>
      </font>
      <fill>
        <patternFill patternType="solid">
          <fgColor rgb="FFFFC000"/>
          <bgColor rgb="FFFFC000"/>
        </patternFill>
      </fill>
    </dxf>
    <dxf>
      <font>
        <b/>
        <i/>
      </font>
      <fill>
        <patternFill patternType="solid">
          <fgColor rgb="FF92D050"/>
          <bgColor rgb="FF92D050"/>
        </patternFill>
      </fill>
    </dxf>
    <dxf>
      <fill>
        <patternFill patternType="solid">
          <fgColor rgb="FFF2F2F2"/>
          <bgColor rgb="FFF2F2F2"/>
        </patternFill>
      </fill>
    </dxf>
    <dxf>
      <fill>
        <patternFill patternType="solid">
          <fgColor rgb="FFC6D9F0"/>
          <bgColor rgb="FFC6D9F0"/>
        </patternFill>
      </fill>
    </dxf>
    <dxf>
      <font>
        <b/>
        <i/>
        <strike/>
        <color rgb="FF7F7F7F"/>
      </font>
      <fill>
        <patternFill patternType="none"/>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manualLayout>
          <c:xMode val="edge"/>
          <c:yMode val="edge"/>
          <c:x val="3.5068349106204016E-2"/>
          <c:y val="0.2101851851851852"/>
          <c:w val="0.94059229067126471"/>
          <c:h val="0.74629629629629635"/>
        </c:manualLayout>
      </c:layout>
      <c:radarChart>
        <c:radarStyle val="marker"/>
        <c:varyColors val="1"/>
        <c:ser>
          <c:idx val="0"/>
          <c:order val="0"/>
          <c:spPr>
            <a:ln cmpd="sng">
              <a:solidFill>
                <a:srgbClr val="4F81BD"/>
              </a:solidFill>
            </a:ln>
          </c:spPr>
          <c:marker>
            <c:symbol val="none"/>
          </c:marker>
          <c:cat>
            <c:strRef>
              <c:f>Results!$A$7:$A$20</c:f>
              <c:strCache>
                <c:ptCount val="14"/>
                <c:pt idx="0">
                  <c:v>V1 - Architecture, Design and Threat Modeling</c:v>
                </c:pt>
                <c:pt idx="1">
                  <c:v>V2 - Authentication</c:v>
                </c:pt>
                <c:pt idx="2">
                  <c:v>V3 - Session Management</c:v>
                </c:pt>
                <c:pt idx="3">
                  <c:v>V4 - Access Control</c:v>
                </c:pt>
                <c:pt idx="4">
                  <c:v>V5 - Validation, Sanitization and Encoding</c:v>
                </c:pt>
                <c:pt idx="5">
                  <c:v>V6 - Stored Cryptography</c:v>
                </c:pt>
                <c:pt idx="6">
                  <c:v>V7 - Error Handling and Logging</c:v>
                </c:pt>
                <c:pt idx="7">
                  <c:v>V8 - Data Protection</c:v>
                </c:pt>
                <c:pt idx="8">
                  <c:v>V9 - Communication</c:v>
                </c:pt>
                <c:pt idx="9">
                  <c:v>V10 - Malicious Code</c:v>
                </c:pt>
                <c:pt idx="10">
                  <c:v>V11 - Business Logic</c:v>
                </c:pt>
                <c:pt idx="11">
                  <c:v>V12 - Files and Resources</c:v>
                </c:pt>
                <c:pt idx="12">
                  <c:v>V13 - API and Web Service</c:v>
                </c:pt>
                <c:pt idx="13">
                  <c:v>V14 - Configuration</c:v>
                </c:pt>
              </c:strCache>
            </c:strRef>
          </c:cat>
          <c:val>
            <c:numRef>
              <c:f>Results!$F$7:$F$20</c:f>
              <c:numCache>
                <c:formatCode>0.00%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00-F771-4083-BBB3-34E0A13DCEFB}"/>
            </c:ext>
          </c:extLst>
        </c:ser>
        <c:dLbls>
          <c:showLegendKey val="0"/>
          <c:showVal val="0"/>
          <c:showCatName val="0"/>
          <c:showSerName val="0"/>
          <c:showPercent val="0"/>
          <c:showBubbleSize val="0"/>
        </c:dLbls>
        <c:axId val="687486546"/>
        <c:axId val="997073042"/>
      </c:radarChart>
      <c:catAx>
        <c:axId val="687486546"/>
        <c:scaling>
          <c:orientation val="minMax"/>
        </c:scaling>
        <c:delete val="0"/>
        <c:axPos val="b"/>
        <c:title>
          <c:tx>
            <c:rich>
              <a:bodyPr/>
              <a:lstStyle/>
              <a:p>
                <a:pPr lvl="0">
                  <a:defRPr b="0">
                    <a:solidFill>
                      <a:srgbClr val="000000"/>
                    </a:solidFill>
                    <a:latin typeface="+mn-lt"/>
                  </a:defRPr>
                </a:pPr>
                <a:endParaRPr lang="it-IT"/>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it-IT"/>
          </a:p>
        </c:txPr>
        <c:crossAx val="997073042"/>
        <c:crosses val="autoZero"/>
        <c:auto val="1"/>
        <c:lblAlgn val="ctr"/>
        <c:lblOffset val="100"/>
        <c:noMultiLvlLbl val="1"/>
      </c:catAx>
      <c:valAx>
        <c:axId val="997073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t-IT"/>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it-IT"/>
          </a:p>
        </c:txPr>
        <c:crossAx val="687486546"/>
        <c:crosses val="autoZero"/>
        <c:crossBetween val="between"/>
      </c:valAx>
    </c:plotArea>
    <c:legend>
      <c:legendPos val="t"/>
      <c:overlay val="0"/>
      <c:txPr>
        <a:bodyPr/>
        <a:lstStyle/>
        <a:p>
          <a:pPr lvl="0">
            <a:defRPr sz="1200" b="0" i="0">
              <a:solidFill>
                <a:srgbClr val="1A1A1A"/>
              </a:solidFill>
              <a:latin typeface="+mn-lt"/>
            </a:defRPr>
          </a:pPr>
          <a:endParaRPr lang="it-IT"/>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525780</xdr:colOff>
      <xdr:row>0</xdr:row>
      <xdr:rowOff>22861</xdr:rowOff>
    </xdr:from>
    <xdr:to>
      <xdr:col>2</xdr:col>
      <xdr:colOff>777240</xdr:colOff>
      <xdr:row>2</xdr:row>
      <xdr:rowOff>213955</xdr:rowOff>
    </xdr:to>
    <xdr:pic>
      <xdr:nvPicPr>
        <xdr:cNvPr id="3" name="Immagine 2">
          <a:extLst>
            <a:ext uri="{FF2B5EF4-FFF2-40B4-BE49-F238E27FC236}">
              <a16:creationId xmlns:a16="http://schemas.microsoft.com/office/drawing/2014/main" id="{D18D3812-9896-42E4-8205-58222CA784D4}"/>
            </a:ext>
          </a:extLst>
        </xdr:cNvPr>
        <xdr:cNvPicPr>
          <a:picLocks noChangeAspect="1"/>
        </xdr:cNvPicPr>
      </xdr:nvPicPr>
      <xdr:blipFill>
        <a:blip xmlns:r="http://schemas.openxmlformats.org/officeDocument/2006/relationships" r:embed="rId1"/>
        <a:stretch>
          <a:fillRect/>
        </a:stretch>
      </xdr:blipFill>
      <xdr:spPr>
        <a:xfrm>
          <a:off x="723900" y="22861"/>
          <a:ext cx="1181100" cy="6940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180975</xdr:colOff>
      <xdr:row>0</xdr:row>
      <xdr:rowOff>0</xdr:rowOff>
    </xdr:from>
    <xdr:ext cx="6848475" cy="5143500"/>
    <xdr:graphicFrame macro="">
      <xdr:nvGraphicFramePr>
        <xdr:cNvPr id="1510411752" name="Chart 1" title="Grafico">
          <a:extLst>
            <a:ext uri="{FF2B5EF4-FFF2-40B4-BE49-F238E27FC236}">
              <a16:creationId xmlns:a16="http://schemas.microsoft.com/office/drawing/2014/main" id="{00000000-0008-0000-0100-0000E80D0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590550</xdr:colOff>
      <xdr:row>23</xdr:row>
      <xdr:rowOff>76200</xdr:rowOff>
    </xdr:from>
    <xdr:ext cx="1743075" cy="1514475"/>
    <xdr:pic>
      <xdr:nvPicPr>
        <xdr:cNvPr id="3" name="image3.png" title="Immagin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0</xdr:col>
      <xdr:colOff>632460</xdr:colOff>
      <xdr:row>24</xdr:row>
      <xdr:rowOff>114300</xdr:rowOff>
    </xdr:from>
    <xdr:to>
      <xdr:col>0</xdr:col>
      <xdr:colOff>2301240</xdr:colOff>
      <xdr:row>30</xdr:row>
      <xdr:rowOff>134755</xdr:rowOff>
    </xdr:to>
    <xdr:pic>
      <xdr:nvPicPr>
        <xdr:cNvPr id="4" name="Immagine 3">
          <a:extLst>
            <a:ext uri="{FF2B5EF4-FFF2-40B4-BE49-F238E27FC236}">
              <a16:creationId xmlns:a16="http://schemas.microsoft.com/office/drawing/2014/main" id="{99B46DD7-B53B-4C53-8EDC-0C717AAABB75}"/>
            </a:ext>
          </a:extLst>
        </xdr:cNvPr>
        <xdr:cNvPicPr>
          <a:picLocks noChangeAspect="1"/>
        </xdr:cNvPicPr>
      </xdr:nvPicPr>
      <xdr:blipFill>
        <a:blip xmlns:r="http://schemas.openxmlformats.org/officeDocument/2006/relationships" r:embed="rId3"/>
        <a:stretch>
          <a:fillRect/>
        </a:stretch>
      </xdr:blipFill>
      <xdr:spPr>
        <a:xfrm>
          <a:off x="632460" y="3977640"/>
          <a:ext cx="1668780" cy="980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200025</xdr:colOff>
      <xdr:row>1</xdr:row>
      <xdr:rowOff>190500</xdr:rowOff>
    </xdr:from>
    <xdr:ext cx="7105650" cy="1857375"/>
    <xdr:pic>
      <xdr:nvPicPr>
        <xdr:cNvPr id="2" name="image4.png" title="Immagin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workbookViewId="0">
      <selection activeCell="B20" sqref="B20"/>
    </sheetView>
  </sheetViews>
  <sheetFormatPr defaultColWidth="14.44140625" defaultRowHeight="15" customHeight="1" x14ac:dyDescent="0.3"/>
  <cols>
    <col min="1" max="1" width="2.88671875" customWidth="1"/>
    <col min="2" max="2" width="13.5546875" customWidth="1"/>
    <col min="3" max="3" width="17.88671875" customWidth="1"/>
    <col min="4" max="4" width="13.33203125" customWidth="1"/>
    <col min="5" max="5" width="14.33203125" customWidth="1"/>
    <col min="6" max="6" width="5" customWidth="1"/>
    <col min="7" max="7" width="8.88671875" customWidth="1"/>
    <col min="8" max="8" width="23.44140625" customWidth="1"/>
    <col min="9" max="9" width="20.109375" customWidth="1"/>
    <col min="10" max="10" width="22" customWidth="1"/>
    <col min="11" max="11" width="1.5546875" customWidth="1"/>
  </cols>
  <sheetData>
    <row r="1" spans="1:26" ht="19.95" customHeight="1" x14ac:dyDescent="0.35">
      <c r="A1" s="1"/>
      <c r="B1" s="132"/>
      <c r="C1" s="132"/>
      <c r="D1" s="135" t="s">
        <v>784</v>
      </c>
      <c r="E1" s="135"/>
      <c r="F1" s="135"/>
      <c r="G1" s="135"/>
      <c r="H1" s="135"/>
      <c r="I1" s="133" t="s">
        <v>0</v>
      </c>
      <c r="J1" s="131"/>
      <c r="K1" s="1"/>
      <c r="L1" s="1"/>
      <c r="M1" s="1"/>
      <c r="N1" s="1"/>
      <c r="O1" s="1"/>
      <c r="P1" s="1"/>
      <c r="Q1" s="1"/>
      <c r="R1" s="1"/>
      <c r="S1" s="1"/>
      <c r="T1" s="1"/>
      <c r="U1" s="1"/>
      <c r="V1" s="1"/>
      <c r="W1" s="1"/>
      <c r="X1" s="1"/>
      <c r="Y1" s="1"/>
      <c r="Z1" s="1"/>
    </row>
    <row r="2" spans="1:26" ht="19.95" customHeight="1" x14ac:dyDescent="0.35">
      <c r="A2" s="1"/>
      <c r="B2" s="132"/>
      <c r="C2" s="132"/>
      <c r="D2" s="135"/>
      <c r="E2" s="135"/>
      <c r="F2" s="135"/>
      <c r="G2" s="135"/>
      <c r="H2" s="135"/>
      <c r="I2" s="133"/>
      <c r="J2" s="131"/>
      <c r="K2" s="1"/>
      <c r="L2" s="1"/>
      <c r="M2" s="1"/>
      <c r="N2" s="1"/>
      <c r="O2" s="1"/>
      <c r="P2" s="1"/>
      <c r="Q2" s="1"/>
      <c r="R2" s="1"/>
      <c r="S2" s="1"/>
      <c r="T2" s="1"/>
      <c r="U2" s="1"/>
      <c r="V2" s="1"/>
      <c r="W2" s="1"/>
      <c r="X2" s="1"/>
      <c r="Y2" s="1"/>
      <c r="Z2" s="1"/>
    </row>
    <row r="3" spans="1:26" ht="19.95" customHeight="1" x14ac:dyDescent="0.35">
      <c r="A3" s="1"/>
      <c r="B3" s="132"/>
      <c r="C3" s="132"/>
      <c r="D3" s="135"/>
      <c r="E3" s="135"/>
      <c r="F3" s="135"/>
      <c r="G3" s="135"/>
      <c r="H3" s="135"/>
      <c r="I3" s="134" t="s">
        <v>785</v>
      </c>
      <c r="J3" s="130">
        <v>46136</v>
      </c>
      <c r="K3" s="1"/>
      <c r="L3" s="1"/>
      <c r="M3" s="1"/>
      <c r="N3" s="1"/>
      <c r="O3" s="1"/>
      <c r="P3" s="1"/>
      <c r="Q3" s="1"/>
      <c r="R3" s="1"/>
      <c r="S3" s="1"/>
      <c r="T3" s="1"/>
      <c r="U3" s="1"/>
      <c r="V3" s="1"/>
      <c r="W3" s="1"/>
      <c r="X3" s="1"/>
      <c r="Y3" s="1"/>
      <c r="Z3" s="1"/>
    </row>
    <row r="4" spans="1:26" ht="19.95" customHeight="1" x14ac:dyDescent="0.35">
      <c r="A4" s="1"/>
      <c r="B4" s="132"/>
      <c r="C4" s="132"/>
      <c r="D4" s="135"/>
      <c r="E4" s="135"/>
      <c r="F4" s="135"/>
      <c r="G4" s="135"/>
      <c r="H4" s="135"/>
      <c r="I4" s="108"/>
      <c r="J4" s="129"/>
      <c r="K4" s="1"/>
      <c r="L4" s="1"/>
      <c r="M4" s="1"/>
      <c r="N4" s="1"/>
      <c r="O4" s="1"/>
      <c r="P4" s="1"/>
      <c r="Q4" s="1"/>
      <c r="R4" s="1"/>
      <c r="S4" s="1"/>
      <c r="T4" s="1"/>
      <c r="U4" s="1"/>
      <c r="V4" s="1"/>
      <c r="W4" s="1"/>
      <c r="X4" s="1"/>
      <c r="Y4" s="1"/>
      <c r="Z4" s="1"/>
    </row>
    <row r="5" spans="1:26" ht="12.75" customHeight="1" x14ac:dyDescent="0.35">
      <c r="A5" s="1"/>
      <c r="B5" s="1"/>
      <c r="C5" s="1"/>
      <c r="D5" s="1"/>
      <c r="E5" s="1"/>
      <c r="F5" s="1"/>
      <c r="G5" s="1"/>
      <c r="H5" s="1"/>
      <c r="I5" s="1"/>
      <c r="J5" s="1"/>
      <c r="K5" s="1"/>
      <c r="L5" s="1"/>
      <c r="M5" s="1"/>
      <c r="N5" s="1"/>
      <c r="O5" s="1"/>
      <c r="P5" s="1"/>
      <c r="Q5" s="1"/>
      <c r="R5" s="1"/>
      <c r="S5" s="1"/>
      <c r="T5" s="1"/>
      <c r="U5" s="1"/>
      <c r="V5" s="1"/>
      <c r="W5" s="1"/>
      <c r="X5" s="1"/>
      <c r="Y5" s="1"/>
      <c r="Z5" s="1"/>
    </row>
    <row r="6" spans="1:26" ht="19.2" x14ac:dyDescent="0.4">
      <c r="A6" s="1"/>
      <c r="B6" s="113" t="s">
        <v>1</v>
      </c>
      <c r="C6" s="114"/>
      <c r="D6" s="111"/>
      <c r="E6" s="115" t="s">
        <v>2</v>
      </c>
      <c r="F6" s="109"/>
      <c r="G6" s="109"/>
      <c r="H6" s="109"/>
      <c r="I6" s="109"/>
      <c r="J6" s="107"/>
      <c r="K6" s="1"/>
      <c r="L6" s="1"/>
      <c r="M6" s="1"/>
      <c r="N6" s="1"/>
      <c r="O6" s="1"/>
      <c r="P6" s="1"/>
      <c r="Q6" s="1"/>
      <c r="R6" s="1"/>
      <c r="S6" s="1"/>
      <c r="T6" s="1"/>
      <c r="U6" s="1"/>
      <c r="V6" s="1"/>
      <c r="W6" s="1"/>
      <c r="X6" s="1"/>
      <c r="Y6" s="1"/>
      <c r="Z6" s="1"/>
    </row>
    <row r="7" spans="1:26" ht="19.2" x14ac:dyDescent="0.4">
      <c r="A7" s="1"/>
      <c r="B7" s="113" t="s">
        <v>3</v>
      </c>
      <c r="C7" s="114"/>
      <c r="D7" s="111"/>
      <c r="E7" s="117" t="s">
        <v>4</v>
      </c>
      <c r="F7" s="114"/>
      <c r="G7" s="114"/>
      <c r="H7" s="114"/>
      <c r="I7" s="114"/>
      <c r="J7" s="111"/>
      <c r="K7" s="1"/>
      <c r="L7" s="1"/>
      <c r="M7" s="1"/>
      <c r="N7" s="1"/>
      <c r="O7" s="1"/>
      <c r="P7" s="1"/>
      <c r="Q7" s="1"/>
      <c r="R7" s="1"/>
      <c r="S7" s="1"/>
      <c r="T7" s="1"/>
      <c r="U7" s="1"/>
      <c r="V7" s="1"/>
      <c r="W7" s="1"/>
      <c r="X7" s="1"/>
      <c r="Y7" s="1"/>
      <c r="Z7" s="1"/>
    </row>
    <row r="8" spans="1:26" ht="21.75" customHeight="1" x14ac:dyDescent="0.35">
      <c r="A8" s="1"/>
      <c r="B8" s="113" t="s">
        <v>5</v>
      </c>
      <c r="C8" s="114"/>
      <c r="D8" s="111"/>
      <c r="E8" s="118" t="s">
        <v>6</v>
      </c>
      <c r="F8" s="110"/>
      <c r="G8" s="110"/>
      <c r="H8" s="110"/>
      <c r="I8" s="110"/>
      <c r="J8" s="108"/>
      <c r="K8" s="1"/>
      <c r="L8" s="1"/>
      <c r="M8" s="1"/>
      <c r="N8" s="1"/>
      <c r="O8" s="1"/>
      <c r="P8" s="1"/>
      <c r="Q8" s="1"/>
      <c r="R8" s="1"/>
      <c r="S8" s="1"/>
      <c r="T8" s="1"/>
      <c r="U8" s="1"/>
      <c r="V8" s="1"/>
      <c r="W8" s="1"/>
      <c r="X8" s="1"/>
      <c r="Y8" s="1"/>
      <c r="Z8" s="1"/>
    </row>
    <row r="9" spans="1:26" ht="12.75" customHeight="1" x14ac:dyDescent="0.35">
      <c r="A9" s="1"/>
      <c r="B9" s="1"/>
      <c r="C9" s="1"/>
      <c r="D9" s="1"/>
      <c r="E9" s="1"/>
      <c r="F9" s="1"/>
      <c r="G9" s="1"/>
      <c r="H9" s="1"/>
      <c r="I9" s="1"/>
      <c r="J9" s="1"/>
      <c r="K9" s="1"/>
      <c r="L9" s="1"/>
      <c r="M9" s="1"/>
      <c r="N9" s="1"/>
      <c r="O9" s="1"/>
      <c r="P9" s="1"/>
      <c r="Q9" s="1"/>
      <c r="R9" s="1"/>
      <c r="S9" s="1"/>
      <c r="T9" s="1"/>
      <c r="U9" s="1"/>
      <c r="V9" s="1"/>
      <c r="W9" s="1"/>
      <c r="X9" s="1"/>
      <c r="Y9" s="1"/>
      <c r="Z9" s="1"/>
    </row>
    <row r="10" spans="1:26" ht="19.5" customHeight="1" x14ac:dyDescent="0.35">
      <c r="A10" s="1"/>
      <c r="B10" s="2" t="s">
        <v>7</v>
      </c>
      <c r="C10" s="2" t="s">
        <v>8</v>
      </c>
      <c r="D10" s="119" t="s">
        <v>9</v>
      </c>
      <c r="E10" s="114"/>
      <c r="F10" s="114"/>
      <c r="G10" s="111"/>
      <c r="H10" s="2" t="s">
        <v>10</v>
      </c>
      <c r="I10" s="3" t="s">
        <v>11</v>
      </c>
      <c r="J10" s="3" t="s">
        <v>12</v>
      </c>
      <c r="K10" s="1"/>
      <c r="L10" s="1"/>
      <c r="M10" s="1"/>
      <c r="N10" s="1"/>
      <c r="O10" s="1"/>
      <c r="P10" s="1"/>
      <c r="Q10" s="1"/>
      <c r="R10" s="1"/>
      <c r="S10" s="1"/>
      <c r="T10" s="1"/>
      <c r="U10" s="1"/>
      <c r="V10" s="1"/>
      <c r="W10" s="1"/>
      <c r="X10" s="1"/>
      <c r="Y10" s="1"/>
      <c r="Z10" s="1"/>
    </row>
    <row r="11" spans="1:26" ht="16.8" x14ac:dyDescent="0.4">
      <c r="A11" s="1"/>
      <c r="B11" s="4" t="s">
        <v>13</v>
      </c>
      <c r="C11" s="5" t="s">
        <v>786</v>
      </c>
      <c r="D11" s="136" t="s">
        <v>14</v>
      </c>
      <c r="E11" s="137"/>
      <c r="F11" s="137"/>
      <c r="G11" s="138"/>
      <c r="H11" s="139" t="s">
        <v>15</v>
      </c>
      <c r="I11" s="139" t="s">
        <v>16</v>
      </c>
      <c r="J11" s="140" t="s">
        <v>6</v>
      </c>
      <c r="K11" s="1"/>
      <c r="L11" s="1"/>
      <c r="M11" s="1"/>
      <c r="N11" s="1"/>
      <c r="O11" s="1"/>
      <c r="P11" s="1"/>
      <c r="Q11" s="1"/>
      <c r="R11" s="1"/>
      <c r="S11" s="1"/>
      <c r="T11" s="1"/>
      <c r="U11" s="1"/>
      <c r="V11" s="1"/>
      <c r="W11" s="1"/>
      <c r="X11" s="1"/>
      <c r="Y11" s="1"/>
      <c r="Z11" s="1"/>
    </row>
    <row r="12" spans="1:26" ht="16.8" x14ac:dyDescent="0.4">
      <c r="A12" s="1"/>
      <c r="B12" s="8"/>
      <c r="C12" s="5"/>
      <c r="D12" s="116"/>
      <c r="E12" s="114"/>
      <c r="F12" s="114"/>
      <c r="G12" s="111"/>
      <c r="H12" s="6"/>
      <c r="I12" s="6"/>
      <c r="J12" s="7"/>
      <c r="K12" s="1"/>
      <c r="L12" s="1"/>
      <c r="M12" s="1"/>
      <c r="N12" s="1"/>
      <c r="O12" s="1"/>
      <c r="P12" s="1"/>
      <c r="Q12" s="1"/>
      <c r="R12" s="1"/>
      <c r="S12" s="1"/>
      <c r="T12" s="1"/>
      <c r="U12" s="1"/>
      <c r="V12" s="1"/>
      <c r="W12" s="1"/>
      <c r="X12" s="1"/>
      <c r="Y12" s="1"/>
      <c r="Z12" s="1"/>
    </row>
    <row r="13" spans="1:26" ht="16.8" x14ac:dyDescent="0.4">
      <c r="A13" s="1"/>
      <c r="B13" s="8"/>
      <c r="C13" s="5"/>
      <c r="D13" s="116"/>
      <c r="E13" s="114"/>
      <c r="F13" s="114"/>
      <c r="G13" s="111"/>
      <c r="H13" s="6"/>
      <c r="I13" s="6"/>
      <c r="J13" s="7"/>
      <c r="K13" s="1"/>
      <c r="L13" s="1"/>
      <c r="M13" s="1"/>
      <c r="N13" s="1"/>
      <c r="O13" s="1"/>
      <c r="P13" s="1"/>
      <c r="Q13" s="1"/>
      <c r="R13" s="1"/>
      <c r="S13" s="1"/>
      <c r="T13" s="1"/>
      <c r="U13" s="1"/>
      <c r="V13" s="1"/>
      <c r="W13" s="1"/>
      <c r="X13" s="1"/>
      <c r="Y13" s="1"/>
      <c r="Z13" s="1"/>
    </row>
    <row r="14" spans="1:26" ht="16.8" x14ac:dyDescent="0.4">
      <c r="A14" s="1"/>
      <c r="B14" s="8"/>
      <c r="C14" s="9"/>
      <c r="D14" s="116"/>
      <c r="E14" s="114"/>
      <c r="F14" s="114"/>
      <c r="G14" s="111"/>
      <c r="H14" s="10"/>
      <c r="I14" s="11"/>
      <c r="J14" s="7"/>
      <c r="K14" s="1"/>
      <c r="L14" s="1"/>
      <c r="M14" s="1"/>
      <c r="N14" s="1"/>
      <c r="O14" s="1"/>
      <c r="P14" s="1"/>
      <c r="Q14" s="1"/>
      <c r="R14" s="1"/>
      <c r="S14" s="1"/>
      <c r="T14" s="1"/>
      <c r="U14" s="1"/>
      <c r="V14" s="1"/>
      <c r="W14" s="1"/>
      <c r="X14" s="1"/>
      <c r="Y14" s="1"/>
      <c r="Z14" s="1"/>
    </row>
    <row r="15" spans="1:26" ht="16.8" x14ac:dyDescent="0.35">
      <c r="A15" s="1"/>
      <c r="B15" s="8"/>
      <c r="C15" s="9"/>
      <c r="D15" s="116"/>
      <c r="E15" s="114"/>
      <c r="F15" s="114"/>
      <c r="G15" s="114"/>
      <c r="H15" s="12"/>
      <c r="I15" s="12"/>
      <c r="J15" s="13"/>
      <c r="K15" s="1"/>
      <c r="L15" s="1"/>
      <c r="M15" s="1"/>
      <c r="N15" s="1"/>
      <c r="O15" s="1"/>
      <c r="P15" s="1"/>
      <c r="Q15" s="1"/>
      <c r="R15" s="1"/>
      <c r="S15" s="1"/>
      <c r="T15" s="1"/>
      <c r="U15" s="1"/>
      <c r="V15" s="1"/>
      <c r="W15" s="1"/>
      <c r="X15" s="1"/>
      <c r="Y15" s="1"/>
      <c r="Z15" s="1"/>
    </row>
    <row r="16" spans="1:26" ht="12.75" customHeight="1" x14ac:dyDescent="0.45">
      <c r="A16" s="1"/>
      <c r="B16" s="1"/>
      <c r="C16" s="14"/>
      <c r="D16" s="14"/>
      <c r="E16" s="15"/>
      <c r="F16" s="15"/>
      <c r="G16" s="15"/>
      <c r="H16" s="15"/>
      <c r="I16" s="15"/>
      <c r="J16" s="15"/>
      <c r="K16" s="14"/>
      <c r="L16" s="1"/>
      <c r="M16" s="1"/>
      <c r="N16" s="1"/>
      <c r="O16" s="1"/>
      <c r="P16" s="1"/>
      <c r="Q16" s="1"/>
      <c r="R16" s="1"/>
      <c r="S16" s="1"/>
      <c r="T16" s="1"/>
      <c r="U16" s="1"/>
      <c r="V16" s="1"/>
      <c r="W16" s="1"/>
      <c r="X16" s="1"/>
      <c r="Y16" s="1"/>
      <c r="Z16" s="1"/>
    </row>
    <row r="17" spans="1:26"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B6:D6"/>
    <mergeCell ref="E6:J6"/>
    <mergeCell ref="D13:G13"/>
    <mergeCell ref="D14:G14"/>
    <mergeCell ref="D15:G15"/>
    <mergeCell ref="B7:D7"/>
    <mergeCell ref="E7:J7"/>
    <mergeCell ref="B8:D8"/>
    <mergeCell ref="E8:J8"/>
    <mergeCell ref="D10:G10"/>
    <mergeCell ref="D11:G11"/>
    <mergeCell ref="D12:G12"/>
    <mergeCell ref="I3:I4"/>
    <mergeCell ref="J3:J4"/>
    <mergeCell ref="I1:J2"/>
    <mergeCell ref="D1:H4"/>
    <mergeCell ref="B1:C4"/>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showGridLines="0" topLeftCell="A15" workbookViewId="0">
      <selection sqref="A1:G1"/>
    </sheetView>
  </sheetViews>
  <sheetFormatPr defaultColWidth="14.44140625" defaultRowHeight="15" customHeight="1" x14ac:dyDescent="0.3"/>
  <cols>
    <col min="1" max="1" width="41.44140625" customWidth="1"/>
    <col min="2" max="2" width="6.33203125" customWidth="1"/>
    <col min="3" max="3" width="7.88671875" customWidth="1"/>
    <col min="4" max="4" width="12.33203125" customWidth="1"/>
    <col min="5" max="5" width="11" customWidth="1"/>
    <col min="6" max="6" width="13.33203125" customWidth="1"/>
    <col min="7" max="7" width="11.44140625" customWidth="1"/>
    <col min="8" max="8" width="9.6640625" customWidth="1"/>
    <col min="9" max="9" width="8.88671875" customWidth="1"/>
    <col min="10" max="10" width="10.109375" customWidth="1"/>
    <col min="11" max="11" width="10.6640625" customWidth="1"/>
    <col min="12" max="13" width="23.5546875" customWidth="1"/>
    <col min="14" max="14" width="13.109375" customWidth="1"/>
    <col min="15" max="15" width="8.88671875" customWidth="1"/>
  </cols>
  <sheetData>
    <row r="1" spans="1:15" ht="12.75" customHeight="1" x14ac:dyDescent="0.3">
      <c r="A1" s="120" t="s">
        <v>17</v>
      </c>
      <c r="B1" s="114"/>
      <c r="C1" s="114"/>
      <c r="D1" s="114"/>
      <c r="E1" s="114"/>
      <c r="F1" s="114"/>
      <c r="G1" s="111"/>
    </row>
    <row r="2" spans="1:15" ht="14.4" x14ac:dyDescent="0.3">
      <c r="A2" s="16"/>
      <c r="B2" s="16"/>
      <c r="C2" s="16"/>
      <c r="D2" s="16"/>
      <c r="E2" s="16"/>
      <c r="F2" s="16"/>
      <c r="G2" s="16"/>
      <c r="I2" s="17"/>
    </row>
    <row r="3" spans="1:15" ht="12.75" customHeight="1" x14ac:dyDescent="0.3">
      <c r="A3" s="18" t="s">
        <v>18</v>
      </c>
      <c r="B3" s="19" t="s">
        <v>19</v>
      </c>
      <c r="C3" s="20"/>
      <c r="D3" s="20"/>
      <c r="E3" s="20"/>
      <c r="F3" s="20"/>
      <c r="G3" s="20"/>
      <c r="I3" s="17"/>
    </row>
    <row r="4" spans="1:15" ht="12.75" customHeight="1" x14ac:dyDescent="0.3">
      <c r="A4" s="21" t="s">
        <v>20</v>
      </c>
      <c r="B4" s="22">
        <v>1</v>
      </c>
      <c r="C4" s="20"/>
      <c r="D4" s="20"/>
      <c r="E4" s="20"/>
      <c r="F4" s="20"/>
      <c r="G4" s="20"/>
      <c r="I4" s="17"/>
    </row>
    <row r="5" spans="1:15" ht="12.75" customHeight="1" x14ac:dyDescent="0.3">
      <c r="A5" s="23"/>
      <c r="B5" s="16"/>
      <c r="C5" s="16"/>
      <c r="D5" s="16"/>
      <c r="E5" s="16"/>
      <c r="F5" s="16"/>
      <c r="G5" s="16"/>
    </row>
    <row r="6" spans="1:15" ht="12.75" customHeight="1" x14ac:dyDescent="0.3">
      <c r="A6" s="24" t="s">
        <v>21</v>
      </c>
      <c r="B6" s="25" t="s">
        <v>22</v>
      </c>
      <c r="C6" s="26" t="s">
        <v>23</v>
      </c>
      <c r="D6" s="26" t="s">
        <v>24</v>
      </c>
      <c r="E6" s="26" t="s">
        <v>25</v>
      </c>
      <c r="F6" s="25" t="s">
        <v>26</v>
      </c>
      <c r="G6" s="25" t="s">
        <v>27</v>
      </c>
      <c r="H6" s="27"/>
      <c r="I6" s="27"/>
      <c r="J6" s="27"/>
      <c r="K6" s="27"/>
      <c r="L6" s="27"/>
      <c r="M6" s="27"/>
      <c r="N6" s="27"/>
      <c r="O6" s="27"/>
    </row>
    <row r="7" spans="1:15" ht="12.75" customHeight="1" x14ac:dyDescent="0.3">
      <c r="A7" s="28" t="s">
        <v>28</v>
      </c>
      <c r="B7" s="29">
        <f>COUNTIF('V1 - Architecture, Design and T'!$H$2:$H$43,"Valid")</f>
        <v>0</v>
      </c>
      <c r="C7" s="29">
        <f>COUNTIF('V1 - Architecture, Design and T'!$H$2:$H$43,"Invalid")</f>
        <v>0</v>
      </c>
      <c r="D7" s="29">
        <f>COUNTIF('V1 - Architecture, Design and T'!$H$2:$H$43,"Not applicable")</f>
        <v>0</v>
      </c>
      <c r="E7" s="30">
        <f t="array" ref="E7">COUNTIF('V1 - Architecture, Design and T'!H2:H43,{"Valid";"Invalid"})</f>
        <v>0</v>
      </c>
      <c r="F7" s="31">
        <f t="shared" ref="F7:F20" si="0">IF(E7=0,1,ROUND((B7/E7),1))</f>
        <v>1</v>
      </c>
      <c r="G7" s="32"/>
      <c r="H7" s="27"/>
      <c r="I7" s="27"/>
      <c r="J7" s="27"/>
      <c r="K7" s="27"/>
      <c r="L7" s="27"/>
      <c r="M7" s="27"/>
      <c r="N7" s="27"/>
      <c r="O7" s="27"/>
    </row>
    <row r="8" spans="1:15" ht="12.75" customHeight="1" x14ac:dyDescent="0.3">
      <c r="A8" s="28" t="s">
        <v>29</v>
      </c>
      <c r="B8" s="29">
        <f>COUNTIF('V2 - Authentication'!$H$2:$H$58,"Valid")</f>
        <v>0</v>
      </c>
      <c r="C8" s="29">
        <f>COUNTIF('V2 - Authentication'!$H$2:$H$58,"Invalid")</f>
        <v>0</v>
      </c>
      <c r="D8" s="29">
        <f>COUNTIF('V2 - Authentication'!$H$2:$H$58,"Not applicable")</f>
        <v>0</v>
      </c>
      <c r="E8" s="30">
        <f t="array" ref="E8">COUNTIF('V2 - Authentication'!H2:H58,{"Valid";"Invalid"})</f>
        <v>0</v>
      </c>
      <c r="F8" s="31">
        <f t="shared" si="0"/>
        <v>1</v>
      </c>
      <c r="G8" s="33"/>
    </row>
    <row r="9" spans="1:15" ht="12.75" customHeight="1" x14ac:dyDescent="0.3">
      <c r="A9" s="28" t="s">
        <v>30</v>
      </c>
      <c r="B9" s="29">
        <f>COUNTIF('V3 - Session Management'!$H$2:$H$21,"Valid")</f>
        <v>0</v>
      </c>
      <c r="C9" s="29">
        <f>COUNTIF('V3 - Session Management'!$H$2:$H$21,"Invalid")</f>
        <v>0</v>
      </c>
      <c r="D9" s="29">
        <f>COUNTIF('V3 - Session Management'!$H$2:$H$21,"Not applicable")</f>
        <v>0</v>
      </c>
      <c r="E9" s="30">
        <f t="array" ref="E9">COUNTIF('V3 - Session Management'!H2:H21,{"Valid";"Invalid"})</f>
        <v>0</v>
      </c>
      <c r="F9" s="31">
        <f t="shared" si="0"/>
        <v>1</v>
      </c>
      <c r="G9" s="33"/>
      <c r="I9" s="34"/>
      <c r="J9" s="34"/>
      <c r="K9" s="34"/>
      <c r="L9" s="34"/>
      <c r="M9" s="34"/>
      <c r="N9" s="34"/>
      <c r="O9" s="34"/>
    </row>
    <row r="10" spans="1:15" ht="12.75" customHeight="1" x14ac:dyDescent="0.3">
      <c r="A10" s="28" t="s">
        <v>31</v>
      </c>
      <c r="B10" s="29">
        <f>COUNTIF('V4 - Access Control'!$H$2:$H$11,"Valid")</f>
        <v>0</v>
      </c>
      <c r="C10" s="29">
        <f>COUNTIF('V4 - Access Control'!$H$2:$H$11,"Invalid")</f>
        <v>0</v>
      </c>
      <c r="D10" s="29">
        <f>COUNTIF('V4 - Access Control'!$H$2:$H$11,"Not applicable")</f>
        <v>0</v>
      </c>
      <c r="E10" s="30">
        <f t="array" ref="E10">COUNTIF('V4 - Access Control'!H2:H11,{"Valid";"Invalid"})</f>
        <v>0</v>
      </c>
      <c r="F10" s="31">
        <f t="shared" si="0"/>
        <v>1</v>
      </c>
      <c r="G10" s="33"/>
      <c r="I10" s="34"/>
      <c r="J10" s="34"/>
      <c r="K10" s="34"/>
      <c r="L10" s="34"/>
      <c r="M10" s="34"/>
      <c r="N10" s="34"/>
      <c r="O10" s="34"/>
    </row>
    <row r="11" spans="1:15" ht="12.75" customHeight="1" x14ac:dyDescent="0.3">
      <c r="A11" s="28" t="s">
        <v>32</v>
      </c>
      <c r="B11" s="29">
        <f>COUNTIF('V5 - Validation, Sanitization a'!$H$2:$H$31,"Valid")</f>
        <v>0</v>
      </c>
      <c r="C11" s="29">
        <f>COUNTIF('V5 - Validation, Sanitization a'!$H$2:$H$31,"Invalid")</f>
        <v>0</v>
      </c>
      <c r="D11" s="29">
        <f>COUNTIF('V5 - Validation, Sanitization a'!$H$2:$H$31,"Not applicable")</f>
        <v>0</v>
      </c>
      <c r="E11" s="30">
        <f t="array" ref="E11">COUNTIF('V5 - Validation, Sanitization a'!H2:H31,{"Valid";"Invalid"})</f>
        <v>0</v>
      </c>
      <c r="F11" s="31">
        <f t="shared" si="0"/>
        <v>1</v>
      </c>
      <c r="G11" s="33"/>
      <c r="I11" s="34"/>
      <c r="J11" s="34"/>
      <c r="K11" s="34"/>
      <c r="L11" s="34"/>
      <c r="M11" s="34"/>
      <c r="N11" s="34"/>
      <c r="O11" s="34"/>
    </row>
    <row r="12" spans="1:15" ht="12.75" customHeight="1" x14ac:dyDescent="0.3">
      <c r="A12" s="28" t="s">
        <v>33</v>
      </c>
      <c r="B12" s="29">
        <f>COUNTIF('V6 - Stored Cryptography'!$H$2:$H$17,"Valid")</f>
        <v>0</v>
      </c>
      <c r="C12" s="29">
        <f>COUNTIF('V6 - Stored Cryptography'!$H$2:$H$17,"Invalid")</f>
        <v>0</v>
      </c>
      <c r="D12" s="29">
        <f>COUNTIF('V6 - Stored Cryptography'!$H$2:$H$17,"Not applicable")</f>
        <v>0</v>
      </c>
      <c r="E12" s="30">
        <f t="array" ref="E12">COUNTIF('V6 - Stored Cryptography'!H2:H17,{"Valid";"Invalid"})</f>
        <v>0</v>
      </c>
      <c r="F12" s="31">
        <f t="shared" si="0"/>
        <v>1</v>
      </c>
      <c r="G12" s="33"/>
      <c r="I12" s="34"/>
      <c r="J12" s="34"/>
      <c r="K12" s="34"/>
      <c r="L12" s="34"/>
      <c r="M12" s="34"/>
      <c r="N12" s="34"/>
      <c r="O12" s="34"/>
    </row>
    <row r="13" spans="1:15" ht="12.75" customHeight="1" x14ac:dyDescent="0.3">
      <c r="A13" s="28" t="s">
        <v>34</v>
      </c>
      <c r="B13" s="29">
        <f>COUNTIF('V7 - Error Handling and Logging'!$H$2:$H$14,"Valid")</f>
        <v>0</v>
      </c>
      <c r="C13" s="29">
        <f>COUNTIF('V7 - Error Handling and Logging'!$H$2:$H$14,"Invalid")</f>
        <v>0</v>
      </c>
      <c r="D13" s="29">
        <f>COUNTIF('V7 - Error Handling and Logging'!$H$2:$H$14,"Not applicable")</f>
        <v>0</v>
      </c>
      <c r="E13" s="30">
        <f t="array" ref="E13">COUNTIF('V7 - Error Handling and Logging'!H2:H14,{"Valid";"Invalid"})</f>
        <v>0</v>
      </c>
      <c r="F13" s="31">
        <f t="shared" si="0"/>
        <v>1</v>
      </c>
      <c r="G13" s="33"/>
      <c r="I13" s="34"/>
      <c r="J13" s="34"/>
      <c r="K13" s="34"/>
      <c r="L13" s="34"/>
      <c r="M13" s="34"/>
      <c r="N13" s="34"/>
      <c r="O13" s="34"/>
    </row>
    <row r="14" spans="1:15" ht="12.75" customHeight="1" x14ac:dyDescent="0.3">
      <c r="A14" s="28" t="s">
        <v>35</v>
      </c>
      <c r="B14" s="29">
        <f>COUNTIF('V8 - Data Protection'!$H$2:$H$18,"Valid")</f>
        <v>0</v>
      </c>
      <c r="C14" s="29">
        <f>COUNTIF('V8 - Data Protection'!$H$2:$H$18,"Invalid")</f>
        <v>0</v>
      </c>
      <c r="D14" s="29">
        <f>COUNTIF('V8 - Data Protection'!$H$2:$H$18,"Not applicable")</f>
        <v>0</v>
      </c>
      <c r="E14" s="30">
        <f t="array" ref="E14">COUNTIF('V8 - Data Protection'!H2:H18,{"Valid";"Invalid"})</f>
        <v>0</v>
      </c>
      <c r="F14" s="31">
        <f t="shared" si="0"/>
        <v>1</v>
      </c>
      <c r="G14" s="33"/>
      <c r="I14" s="34"/>
      <c r="J14" s="34"/>
      <c r="K14" s="34"/>
      <c r="L14" s="34"/>
      <c r="M14" s="34"/>
      <c r="N14" s="34"/>
      <c r="O14" s="34"/>
    </row>
    <row r="15" spans="1:15" ht="12.75" customHeight="1" x14ac:dyDescent="0.3">
      <c r="A15" s="28" t="s">
        <v>36</v>
      </c>
      <c r="B15" s="29">
        <f>COUNTIF('V9 - Communication'!$H$2:$H$9,"Valid")</f>
        <v>0</v>
      </c>
      <c r="C15" s="29">
        <f>COUNTIF('V9 - Communication'!$H$2:$H$9,"Invalid")</f>
        <v>0</v>
      </c>
      <c r="D15" s="29">
        <f>COUNTIF('V9 - Communication'!$H$2:$H$9,"Not applicable")</f>
        <v>0</v>
      </c>
      <c r="E15" s="30">
        <f t="array" ref="E15">COUNTIF('V9 - Communication'!H2:H9,{"Valid";"Invalid"})</f>
        <v>0</v>
      </c>
      <c r="F15" s="31">
        <f t="shared" si="0"/>
        <v>1</v>
      </c>
      <c r="G15" s="33"/>
      <c r="I15" s="34"/>
      <c r="J15" s="34"/>
      <c r="K15" s="34"/>
      <c r="L15" s="34"/>
      <c r="M15" s="34"/>
      <c r="N15" s="34"/>
      <c r="O15" s="34"/>
    </row>
    <row r="16" spans="1:15" ht="12.75" customHeight="1" x14ac:dyDescent="0.3">
      <c r="A16" s="28" t="s">
        <v>37</v>
      </c>
      <c r="B16" s="29">
        <f>COUNTIF('V10 - Malicious Code'!$H$2:$H$11,"Valid")</f>
        <v>0</v>
      </c>
      <c r="C16" s="29">
        <f>COUNTIF('V10 - Malicious Code'!$H$2:$H$11,"Invalid")</f>
        <v>0</v>
      </c>
      <c r="D16" s="29">
        <f>COUNTIF('V10 - Malicious Code'!$H$2:$H$11,"Not applicable")</f>
        <v>0</v>
      </c>
      <c r="E16" s="30">
        <f t="array" ref="E16">COUNTIF('V10 - Malicious Code'!H2:H11,{"Valid";"Invalid"})</f>
        <v>0</v>
      </c>
      <c r="F16" s="31">
        <f t="shared" si="0"/>
        <v>1</v>
      </c>
      <c r="G16" s="33"/>
    </row>
    <row r="17" spans="1:7" ht="12.75" customHeight="1" x14ac:dyDescent="0.3">
      <c r="A17" s="28" t="s">
        <v>38</v>
      </c>
      <c r="B17" s="29">
        <f>COUNTIF('V11 - Business Logic'!$H$2:$H$9,"Valid")</f>
        <v>0</v>
      </c>
      <c r="C17" s="29">
        <f>COUNTIF('V11 - Business Logic'!$H$2:$H$9,"Invalid")</f>
        <v>0</v>
      </c>
      <c r="D17" s="29">
        <f>COUNTIF('V11 - Business Logic'!$H$2:$H$9,"Not applicable")</f>
        <v>0</v>
      </c>
      <c r="E17" s="30">
        <f t="array" ref="E17">COUNTIF('V11 - Business Logic'!H2:H9,{"Valid";"Invalid"})</f>
        <v>0</v>
      </c>
      <c r="F17" s="31">
        <f t="shared" si="0"/>
        <v>1</v>
      </c>
      <c r="G17" s="33"/>
    </row>
    <row r="18" spans="1:7" ht="12.75" customHeight="1" x14ac:dyDescent="0.3">
      <c r="A18" s="28" t="s">
        <v>39</v>
      </c>
      <c r="B18" s="29">
        <f>COUNTIF('V12 - Files and Resources'!$H$2:$H$16,"Valid")</f>
        <v>0</v>
      </c>
      <c r="C18" s="29">
        <f>COUNTIF('V12 - Files and Resources'!$H$2:$H$16,"Invalid")</f>
        <v>0</v>
      </c>
      <c r="D18" s="29">
        <f>COUNTIF('V12 - Files and Resources'!$H$2:$H$16,"Not applicable")</f>
        <v>0</v>
      </c>
      <c r="E18" s="30">
        <f t="array" ref="E18">COUNTIF('V12 - Files and Resources'!H2:H16,{"Valid";"Invalid"})</f>
        <v>0</v>
      </c>
      <c r="F18" s="31">
        <f t="shared" si="0"/>
        <v>1</v>
      </c>
      <c r="G18" s="33"/>
    </row>
    <row r="19" spans="1:7" ht="12.75" customHeight="1" x14ac:dyDescent="0.3">
      <c r="A19" s="28" t="s">
        <v>40</v>
      </c>
      <c r="B19" s="29">
        <f>COUNTIF('V13 - API and Web Service'!$H$2:$H$16,"Valid")</f>
        <v>0</v>
      </c>
      <c r="C19" s="29">
        <f>COUNTIF('V13 - API and Web Service'!$H$2:$H$16,"Invalid")</f>
        <v>0</v>
      </c>
      <c r="D19" s="29">
        <f>COUNTIF('V13 - API and Web Service'!$H$2:$H$16,"Not applicable")</f>
        <v>0</v>
      </c>
      <c r="E19" s="30">
        <f t="array" ref="E19">COUNTIF('V13 - API and Web Service'!H2:H16,{"Valid";"Invalid"})</f>
        <v>0</v>
      </c>
      <c r="F19" s="31">
        <f t="shared" si="0"/>
        <v>1</v>
      </c>
      <c r="G19" s="33"/>
    </row>
    <row r="20" spans="1:7" ht="12.75" customHeight="1" x14ac:dyDescent="0.3">
      <c r="A20" s="28" t="s">
        <v>41</v>
      </c>
      <c r="B20" s="29">
        <f>COUNTIF('V14 - Configuration'!$H$2:$H$26,"Valid")</f>
        <v>0</v>
      </c>
      <c r="C20" s="29">
        <f>COUNTIF('V14 - Configuration'!$H$2:$H$26,"Invalid")</f>
        <v>0</v>
      </c>
      <c r="D20" s="29">
        <f>COUNTIF('V14 - Configuration'!$H$2:$H$26,"Not applicable")</f>
        <v>0</v>
      </c>
      <c r="E20" s="30">
        <f t="array" ref="E20">COUNTIF('V14 - Configuration'!H2:H26,{"Valid";"Invalid"})</f>
        <v>0</v>
      </c>
      <c r="F20" s="31">
        <f t="shared" si="0"/>
        <v>1</v>
      </c>
      <c r="G20" s="33"/>
    </row>
    <row r="21" spans="1:7" ht="12.75" customHeight="1" x14ac:dyDescent="0.3">
      <c r="A21" s="121"/>
      <c r="B21" s="122"/>
      <c r="C21" s="35"/>
      <c r="D21" s="35"/>
      <c r="E21" s="35"/>
      <c r="F21" s="36"/>
      <c r="G21" s="37"/>
    </row>
    <row r="22" spans="1:7" ht="12.75" customHeight="1" x14ac:dyDescent="0.3">
      <c r="A22" s="38" t="s">
        <v>42</v>
      </c>
      <c r="B22" s="39">
        <f t="shared" ref="B22:E22" si="1">SUM(B7:B20)</f>
        <v>0</v>
      </c>
      <c r="C22" s="40">
        <f t="shared" si="1"/>
        <v>0</v>
      </c>
      <c r="D22" s="41">
        <f t="shared" si="1"/>
        <v>0</v>
      </c>
      <c r="E22" s="30">
        <f t="shared" si="1"/>
        <v>0</v>
      </c>
      <c r="F22" s="31">
        <f>ROUND(AVERAGE(F7:F20), 1)</f>
        <v>1</v>
      </c>
      <c r="G22" s="33"/>
    </row>
    <row r="23" spans="1:7" ht="12.75" customHeight="1" x14ac:dyDescent="0.3">
      <c r="A23" s="42"/>
    </row>
    <row r="24" spans="1:7" ht="12.75" customHeight="1" x14ac:dyDescent="0.3">
      <c r="A24" s="42"/>
    </row>
    <row r="25" spans="1:7" ht="12.75" customHeight="1" x14ac:dyDescent="0.3">
      <c r="A25" s="42"/>
    </row>
    <row r="26" spans="1:7" ht="12.75" customHeight="1" x14ac:dyDescent="0.3">
      <c r="A26" s="42"/>
    </row>
    <row r="27" spans="1:7" ht="12.75" customHeight="1" x14ac:dyDescent="0.3">
      <c r="A27" s="42"/>
    </row>
    <row r="28" spans="1:7" ht="12.75" customHeight="1" x14ac:dyDescent="0.3">
      <c r="A28" s="42"/>
    </row>
    <row r="29" spans="1:7" ht="12.75" customHeight="1" x14ac:dyDescent="0.3">
      <c r="A29" s="42"/>
    </row>
    <row r="30" spans="1:7" ht="12.75" customHeight="1" x14ac:dyDescent="0.3">
      <c r="A30" s="42"/>
    </row>
    <row r="31" spans="1:7" ht="12.75" customHeight="1" x14ac:dyDescent="0.3">
      <c r="A31" s="42"/>
    </row>
    <row r="32" spans="1:7" ht="12.75" customHeight="1" x14ac:dyDescent="0.3">
      <c r="A32" s="42"/>
    </row>
    <row r="33" spans="1:1" ht="12.75" customHeight="1" x14ac:dyDescent="0.3">
      <c r="A33" s="42"/>
    </row>
    <row r="34" spans="1:1" ht="15.75" customHeight="1" x14ac:dyDescent="0.3"/>
    <row r="35" spans="1:1" ht="15.75" customHeight="1" x14ac:dyDescent="0.3"/>
    <row r="36" spans="1:1" ht="15.75" customHeight="1" x14ac:dyDescent="0.3"/>
    <row r="37" spans="1:1" ht="15.75" customHeight="1" x14ac:dyDescent="0.3"/>
    <row r="38" spans="1:1" ht="15.75" customHeight="1" x14ac:dyDescent="0.3"/>
    <row r="39" spans="1:1" ht="15.75" customHeight="1" x14ac:dyDescent="0.3"/>
    <row r="40" spans="1:1" ht="15.75" customHeight="1" x14ac:dyDescent="0.3"/>
    <row r="41" spans="1:1" ht="15.75" customHeight="1" x14ac:dyDescent="0.3"/>
    <row r="42" spans="1:1" ht="15.75" customHeight="1" x14ac:dyDescent="0.3"/>
    <row r="43" spans="1:1" ht="15.75" customHeight="1" x14ac:dyDescent="0.3"/>
    <row r="44" spans="1:1" ht="15.75" customHeight="1" x14ac:dyDescent="0.3"/>
    <row r="45" spans="1:1" ht="15.75" customHeight="1" x14ac:dyDescent="0.3"/>
    <row r="46" spans="1:1" ht="15.75" customHeight="1" x14ac:dyDescent="0.3"/>
    <row r="47" spans="1:1" ht="15.75" customHeight="1" x14ac:dyDescent="0.3"/>
    <row r="48" spans="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A1:G1"/>
    <mergeCell ref="A21:B21"/>
  </mergeCells>
  <pageMargins left="0.78749999999999998" right="0.78749999999999998" top="1.0249999999999999" bottom="1.0249999999999999" header="0" footer="0"/>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topLeftCell="A7" workbookViewId="0"/>
  </sheetViews>
  <sheetFormatPr defaultColWidth="14.44140625" defaultRowHeight="15" customHeight="1" x14ac:dyDescent="0.3"/>
  <cols>
    <col min="1" max="1" width="91.109375" customWidth="1"/>
    <col min="2" max="2" width="3" customWidth="1"/>
    <col min="3" max="3" width="107.6640625" customWidth="1"/>
  </cols>
  <sheetData>
    <row r="1" spans="1:3" ht="100.8" x14ac:dyDescent="0.3">
      <c r="A1" s="43" t="s">
        <v>43</v>
      </c>
      <c r="B1" s="44"/>
      <c r="C1" s="44"/>
    </row>
    <row r="2" spans="1:3" ht="14.4" x14ac:dyDescent="0.3">
      <c r="A2" s="45"/>
      <c r="B2" s="45"/>
      <c r="C2" s="45"/>
    </row>
    <row r="3" spans="1:3" ht="158.4" x14ac:dyDescent="0.3">
      <c r="A3" s="43" t="s">
        <v>44</v>
      </c>
      <c r="B3" s="44"/>
      <c r="C3" s="44"/>
    </row>
    <row r="4" spans="1:3" ht="14.4" x14ac:dyDescent="0.3">
      <c r="A4" s="44"/>
      <c r="B4" s="44"/>
      <c r="C4" s="44"/>
    </row>
    <row r="5" spans="1:3" ht="72" x14ac:dyDescent="0.3">
      <c r="A5" s="43" t="s">
        <v>45</v>
      </c>
      <c r="B5" s="44"/>
      <c r="C5" s="44"/>
    </row>
    <row r="6" spans="1:3" ht="14.4" x14ac:dyDescent="0.3">
      <c r="A6" s="44"/>
      <c r="B6" s="44"/>
      <c r="C6" s="44"/>
    </row>
    <row r="7" spans="1:3" ht="187.2" x14ac:dyDescent="0.3">
      <c r="A7" s="46" t="s">
        <v>46</v>
      </c>
      <c r="B7" s="44"/>
      <c r="C7" s="46" t="s">
        <v>47</v>
      </c>
    </row>
    <row r="8" spans="1:3" ht="14.4" x14ac:dyDescent="0.3">
      <c r="A8" s="44"/>
      <c r="B8" s="44"/>
      <c r="C8" s="44"/>
    </row>
    <row r="9" spans="1:3" ht="259.2" x14ac:dyDescent="0.3">
      <c r="A9" s="46" t="s">
        <v>48</v>
      </c>
      <c r="B9" s="44"/>
      <c r="C9" s="4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6.5546875" customWidth="1"/>
    <col min="2" max="2" width="22.44140625" customWidth="1"/>
    <col min="3" max="3" width="7" customWidth="1"/>
    <col min="4" max="4" width="13.5546875" customWidth="1"/>
    <col min="5" max="5" width="8.109375" customWidth="1"/>
    <col min="6" max="6" width="8" customWidth="1"/>
    <col min="7" max="7" width="59" customWidth="1"/>
    <col min="8" max="8" width="8.44140625" customWidth="1"/>
    <col min="9" max="9" width="24.44140625" customWidth="1"/>
    <col min="10" max="11" width="12.6640625" customWidth="1"/>
    <col min="12" max="12" width="17.109375" customWidth="1"/>
  </cols>
  <sheetData>
    <row r="1" spans="1:12" x14ac:dyDescent="0.3">
      <c r="A1" s="47" t="s">
        <v>49</v>
      </c>
      <c r="B1" s="48" t="s">
        <v>50</v>
      </c>
      <c r="C1" s="48" t="s">
        <v>49</v>
      </c>
      <c r="D1" s="49" t="s">
        <v>51</v>
      </c>
      <c r="E1" s="49" t="s">
        <v>52</v>
      </c>
      <c r="F1" s="49" t="s">
        <v>53</v>
      </c>
      <c r="G1" s="48" t="s">
        <v>54</v>
      </c>
      <c r="H1" s="48" t="s">
        <v>22</v>
      </c>
      <c r="I1" s="48" t="s">
        <v>55</v>
      </c>
      <c r="J1" s="48" t="s">
        <v>56</v>
      </c>
      <c r="K1" s="48" t="s">
        <v>57</v>
      </c>
      <c r="L1" s="48" t="s">
        <v>58</v>
      </c>
    </row>
    <row r="2" spans="1:12" x14ac:dyDescent="0.3">
      <c r="A2" s="127" t="s">
        <v>59</v>
      </c>
      <c r="B2" s="127" t="s">
        <v>60</v>
      </c>
      <c r="C2" s="50" t="s">
        <v>61</v>
      </c>
      <c r="D2" s="51">
        <v>2</v>
      </c>
      <c r="E2" s="52"/>
      <c r="F2" s="53"/>
      <c r="G2" s="54" t="s">
        <v>62</v>
      </c>
      <c r="H2" s="55"/>
      <c r="I2" s="54"/>
      <c r="J2" s="54"/>
      <c r="K2" s="54"/>
      <c r="L2" s="52"/>
    </row>
    <row r="3" spans="1:12" x14ac:dyDescent="0.3">
      <c r="A3" s="124"/>
      <c r="B3" s="124"/>
      <c r="C3" s="56" t="s">
        <v>63</v>
      </c>
      <c r="D3" s="57">
        <v>2</v>
      </c>
      <c r="E3" s="58">
        <v>1053</v>
      </c>
      <c r="F3" s="59"/>
      <c r="G3" s="60" t="s">
        <v>64</v>
      </c>
      <c r="H3" s="55"/>
      <c r="I3" s="54"/>
      <c r="J3" s="54"/>
      <c r="K3" s="54"/>
      <c r="L3" s="52"/>
    </row>
    <row r="4" spans="1:12" x14ac:dyDescent="0.3">
      <c r="A4" s="124"/>
      <c r="B4" s="124"/>
      <c r="C4" s="56" t="s">
        <v>65</v>
      </c>
      <c r="D4" s="57">
        <v>2</v>
      </c>
      <c r="E4" s="58">
        <v>1110</v>
      </c>
      <c r="F4" s="59"/>
      <c r="G4" s="60" t="s">
        <v>66</v>
      </c>
      <c r="H4" s="55"/>
      <c r="I4" s="54"/>
      <c r="J4" s="54"/>
      <c r="K4" s="54"/>
      <c r="L4" s="52"/>
    </row>
    <row r="5" spans="1:12" x14ac:dyDescent="0.3">
      <c r="A5" s="124"/>
      <c r="B5" s="124"/>
      <c r="C5" s="56" t="s">
        <v>67</v>
      </c>
      <c r="D5" s="57">
        <v>2</v>
      </c>
      <c r="E5" s="58">
        <v>1059</v>
      </c>
      <c r="F5" s="59"/>
      <c r="G5" s="60" t="s">
        <v>68</v>
      </c>
      <c r="H5" s="55"/>
      <c r="I5" s="54"/>
      <c r="J5" s="54"/>
      <c r="K5" s="54"/>
      <c r="L5" s="52"/>
    </row>
    <row r="6" spans="1:12" x14ac:dyDescent="0.3">
      <c r="A6" s="124"/>
      <c r="B6" s="124"/>
      <c r="C6" s="56" t="s">
        <v>69</v>
      </c>
      <c r="D6" s="57">
        <v>2</v>
      </c>
      <c r="E6" s="58">
        <v>1059</v>
      </c>
      <c r="F6" s="59"/>
      <c r="G6" s="60" t="s">
        <v>70</v>
      </c>
      <c r="H6" s="55"/>
      <c r="I6" s="54"/>
      <c r="J6" s="54"/>
      <c r="K6" s="54"/>
      <c r="L6" s="52"/>
    </row>
    <row r="7" spans="1:12" x14ac:dyDescent="0.3">
      <c r="A7" s="124"/>
      <c r="B7" s="124"/>
      <c r="C7" s="56" t="s">
        <v>71</v>
      </c>
      <c r="D7" s="57">
        <v>2</v>
      </c>
      <c r="E7" s="58">
        <v>637</v>
      </c>
      <c r="F7" s="59"/>
      <c r="G7" s="60" t="s">
        <v>72</v>
      </c>
      <c r="H7" s="55"/>
      <c r="I7" s="54"/>
      <c r="J7" s="54"/>
      <c r="K7" s="54"/>
      <c r="L7" s="52"/>
    </row>
    <row r="8" spans="1:12" x14ac:dyDescent="0.3">
      <c r="A8" s="125"/>
      <c r="B8" s="125"/>
      <c r="C8" s="61" t="s">
        <v>73</v>
      </c>
      <c r="D8" s="62">
        <v>2</v>
      </c>
      <c r="E8" s="63">
        <v>637</v>
      </c>
      <c r="F8" s="64"/>
      <c r="G8" s="65" t="s">
        <v>74</v>
      </c>
      <c r="H8" s="66"/>
      <c r="I8" s="67"/>
      <c r="J8" s="67"/>
      <c r="K8" s="67"/>
      <c r="L8" s="68"/>
    </row>
    <row r="9" spans="1:12" x14ac:dyDescent="0.3">
      <c r="A9" s="126" t="s">
        <v>75</v>
      </c>
      <c r="B9" s="123" t="s">
        <v>76</v>
      </c>
      <c r="C9" s="50" t="s">
        <v>77</v>
      </c>
      <c r="D9" s="51">
        <v>2</v>
      </c>
      <c r="E9" s="52">
        <v>250</v>
      </c>
      <c r="F9" s="53"/>
      <c r="G9" s="54" t="s">
        <v>78</v>
      </c>
      <c r="H9" s="55"/>
      <c r="I9" s="54"/>
      <c r="J9" s="54"/>
      <c r="K9" s="54"/>
      <c r="L9" s="52"/>
    </row>
    <row r="10" spans="1:12" x14ac:dyDescent="0.3">
      <c r="A10" s="124"/>
      <c r="B10" s="124"/>
      <c r="C10" s="56" t="s">
        <v>79</v>
      </c>
      <c r="D10" s="57">
        <v>2</v>
      </c>
      <c r="E10" s="58">
        <v>306</v>
      </c>
      <c r="F10" s="59"/>
      <c r="G10" s="60" t="s">
        <v>80</v>
      </c>
      <c r="H10" s="55"/>
      <c r="I10" s="54"/>
      <c r="J10" s="54"/>
      <c r="K10" s="54"/>
      <c r="L10" s="52"/>
    </row>
    <row r="11" spans="1:12" x14ac:dyDescent="0.3">
      <c r="A11" s="124"/>
      <c r="B11" s="124"/>
      <c r="C11" s="56" t="s">
        <v>81</v>
      </c>
      <c r="D11" s="57">
        <v>2</v>
      </c>
      <c r="E11" s="58">
        <v>306</v>
      </c>
      <c r="F11" s="59"/>
      <c r="G11" s="60" t="s">
        <v>82</v>
      </c>
      <c r="H11" s="55"/>
      <c r="I11" s="54"/>
      <c r="J11" s="54"/>
      <c r="K11" s="54"/>
      <c r="L11" s="52"/>
    </row>
    <row r="12" spans="1:12" x14ac:dyDescent="0.3">
      <c r="A12" s="125"/>
      <c r="B12" s="125"/>
      <c r="C12" s="61" t="s">
        <v>83</v>
      </c>
      <c r="D12" s="62">
        <v>2</v>
      </c>
      <c r="E12" s="63">
        <v>306</v>
      </c>
      <c r="F12" s="64"/>
      <c r="G12" s="65" t="s">
        <v>84</v>
      </c>
      <c r="H12" s="66"/>
      <c r="I12" s="67"/>
      <c r="J12" s="67"/>
      <c r="K12" s="67"/>
      <c r="L12" s="68"/>
    </row>
    <row r="13" spans="1:12" x14ac:dyDescent="0.3">
      <c r="A13" s="123" t="s">
        <v>85</v>
      </c>
      <c r="B13" s="123" t="s">
        <v>86</v>
      </c>
      <c r="C13" s="50" t="s">
        <v>87</v>
      </c>
      <c r="D13" s="51">
        <v>2</v>
      </c>
      <c r="E13" s="52">
        <v>602</v>
      </c>
      <c r="F13" s="53"/>
      <c r="G13" s="54" t="s">
        <v>88</v>
      </c>
      <c r="H13" s="55"/>
      <c r="I13" s="54"/>
      <c r="J13" s="54"/>
      <c r="K13" s="54"/>
      <c r="L13" s="52"/>
    </row>
    <row r="14" spans="1:12" x14ac:dyDescent="0.3">
      <c r="A14" s="124"/>
      <c r="B14" s="124"/>
      <c r="C14" s="56" t="s">
        <v>89</v>
      </c>
      <c r="D14" s="58"/>
      <c r="E14" s="58"/>
      <c r="F14" s="59"/>
      <c r="G14" s="60" t="s">
        <v>90</v>
      </c>
      <c r="I14" s="54"/>
      <c r="J14" s="54"/>
      <c r="K14" s="54"/>
      <c r="L14" s="52"/>
    </row>
    <row r="15" spans="1:12" x14ac:dyDescent="0.3">
      <c r="A15" s="124"/>
      <c r="B15" s="124"/>
      <c r="C15" s="56" t="s">
        <v>91</v>
      </c>
      <c r="D15" s="58"/>
      <c r="E15" s="58"/>
      <c r="F15" s="59"/>
      <c r="G15" s="60" t="s">
        <v>92</v>
      </c>
      <c r="H15" s="60"/>
      <c r="I15" s="54"/>
      <c r="J15" s="54"/>
      <c r="K15" s="54"/>
      <c r="L15" s="52"/>
    </row>
    <row r="16" spans="1:12" x14ac:dyDescent="0.3">
      <c r="A16" s="124"/>
      <c r="B16" s="124"/>
      <c r="C16" s="56" t="s">
        <v>93</v>
      </c>
      <c r="D16" s="57">
        <v>2</v>
      </c>
      <c r="E16" s="58">
        <v>284</v>
      </c>
      <c r="F16" s="59"/>
      <c r="G16" s="60" t="s">
        <v>94</v>
      </c>
      <c r="H16" s="55"/>
      <c r="I16" s="54"/>
      <c r="J16" s="54"/>
      <c r="K16" s="54"/>
      <c r="L16" s="52"/>
    </row>
    <row r="17" spans="1:12" x14ac:dyDescent="0.3">
      <c r="A17" s="125"/>
      <c r="B17" s="125"/>
      <c r="C17" s="61" t="s">
        <v>95</v>
      </c>
      <c r="D17" s="62">
        <v>2</v>
      </c>
      <c r="E17" s="63">
        <v>275</v>
      </c>
      <c r="F17" s="64"/>
      <c r="G17" s="65" t="s">
        <v>96</v>
      </c>
      <c r="H17" s="66"/>
      <c r="I17" s="67"/>
      <c r="J17" s="67"/>
      <c r="K17" s="67"/>
      <c r="L17" s="68"/>
    </row>
    <row r="18" spans="1:12" x14ac:dyDescent="0.3">
      <c r="A18" s="123" t="s">
        <v>97</v>
      </c>
      <c r="B18" s="123" t="s">
        <v>98</v>
      </c>
      <c r="C18" s="50" t="s">
        <v>99</v>
      </c>
      <c r="D18" s="51">
        <v>2</v>
      </c>
      <c r="E18" s="52">
        <v>1029</v>
      </c>
      <c r="F18" s="53"/>
      <c r="G18" s="54" t="s">
        <v>100</v>
      </c>
      <c r="H18" s="55"/>
      <c r="I18" s="54"/>
      <c r="J18" s="54"/>
      <c r="K18" s="54"/>
      <c r="L18" s="52"/>
    </row>
    <row r="19" spans="1:12" x14ac:dyDescent="0.3">
      <c r="A19" s="124"/>
      <c r="B19" s="124"/>
      <c r="C19" s="56" t="s">
        <v>101</v>
      </c>
      <c r="D19" s="57">
        <v>2</v>
      </c>
      <c r="E19" s="58">
        <v>502</v>
      </c>
      <c r="F19" s="59"/>
      <c r="G19" s="60" t="s">
        <v>102</v>
      </c>
      <c r="H19" s="55"/>
      <c r="I19" s="54"/>
      <c r="J19" s="54"/>
      <c r="K19" s="54"/>
      <c r="L19" s="52"/>
    </row>
    <row r="20" spans="1:12" x14ac:dyDescent="0.3">
      <c r="A20" s="124"/>
      <c r="B20" s="124"/>
      <c r="C20" s="56" t="s">
        <v>103</v>
      </c>
      <c r="D20" s="57">
        <v>2</v>
      </c>
      <c r="E20" s="58">
        <v>602</v>
      </c>
      <c r="F20" s="59"/>
      <c r="G20" s="60" t="s">
        <v>104</v>
      </c>
      <c r="H20" s="55"/>
      <c r="I20" s="54"/>
      <c r="J20" s="54"/>
      <c r="K20" s="54"/>
      <c r="L20" s="52"/>
    </row>
    <row r="21" spans="1:12" x14ac:dyDescent="0.3">
      <c r="A21" s="125"/>
      <c r="B21" s="125"/>
      <c r="C21" s="61" t="s">
        <v>105</v>
      </c>
      <c r="D21" s="62">
        <v>2</v>
      </c>
      <c r="E21" s="63">
        <v>116</v>
      </c>
      <c r="F21" s="64"/>
      <c r="G21" s="65" t="s">
        <v>106</v>
      </c>
      <c r="H21" s="66"/>
      <c r="I21" s="67"/>
      <c r="J21" s="67"/>
      <c r="K21" s="67"/>
      <c r="L21" s="68"/>
    </row>
    <row r="22" spans="1:12" x14ac:dyDescent="0.3">
      <c r="A22" s="123" t="s">
        <v>107</v>
      </c>
      <c r="B22" s="123" t="s">
        <v>108</v>
      </c>
      <c r="C22" s="50" t="s">
        <v>109</v>
      </c>
      <c r="D22" s="51">
        <v>2</v>
      </c>
      <c r="E22" s="52">
        <v>320</v>
      </c>
      <c r="F22" s="53"/>
      <c r="G22" s="54" t="s">
        <v>110</v>
      </c>
      <c r="H22" s="55"/>
      <c r="I22" s="54"/>
      <c r="J22" s="54"/>
      <c r="K22" s="54"/>
      <c r="L22" s="52"/>
    </row>
    <row r="23" spans="1:12" x14ac:dyDescent="0.3">
      <c r="A23" s="124"/>
      <c r="B23" s="124"/>
      <c r="C23" s="56" t="s">
        <v>111</v>
      </c>
      <c r="D23" s="57">
        <v>2</v>
      </c>
      <c r="E23" s="58">
        <v>320</v>
      </c>
      <c r="F23" s="59"/>
      <c r="G23" s="60" t="s">
        <v>112</v>
      </c>
      <c r="H23" s="55"/>
      <c r="I23" s="54"/>
      <c r="J23" s="54"/>
      <c r="K23" s="54"/>
      <c r="L23" s="52"/>
    </row>
    <row r="24" spans="1:12" x14ac:dyDescent="0.3">
      <c r="A24" s="124"/>
      <c r="B24" s="124"/>
      <c r="C24" s="56" t="s">
        <v>113</v>
      </c>
      <c r="D24" s="57">
        <v>2</v>
      </c>
      <c r="E24" s="58">
        <v>320</v>
      </c>
      <c r="F24" s="59"/>
      <c r="G24" s="60" t="s">
        <v>114</v>
      </c>
      <c r="H24" s="55"/>
      <c r="I24" s="54"/>
      <c r="J24" s="54"/>
      <c r="K24" s="54"/>
      <c r="L24" s="52"/>
    </row>
    <row r="25" spans="1:12" x14ac:dyDescent="0.3">
      <c r="A25" s="125"/>
      <c r="B25" s="125"/>
      <c r="C25" s="61" t="s">
        <v>115</v>
      </c>
      <c r="D25" s="62">
        <v>2</v>
      </c>
      <c r="E25" s="63">
        <v>320</v>
      </c>
      <c r="F25" s="64"/>
      <c r="G25" s="65" t="s">
        <v>116</v>
      </c>
      <c r="H25" s="66"/>
      <c r="I25" s="67"/>
      <c r="J25" s="67"/>
      <c r="K25" s="67"/>
      <c r="L25" s="68"/>
    </row>
    <row r="26" spans="1:12" x14ac:dyDescent="0.3">
      <c r="A26" s="126" t="s">
        <v>117</v>
      </c>
      <c r="B26" s="123" t="s">
        <v>118</v>
      </c>
      <c r="C26" s="50" t="s">
        <v>119</v>
      </c>
      <c r="D26" s="51">
        <v>2</v>
      </c>
      <c r="E26" s="52">
        <v>1009</v>
      </c>
      <c r="F26" s="53"/>
      <c r="G26" s="54" t="s">
        <v>120</v>
      </c>
      <c r="H26" s="55"/>
      <c r="I26" s="54"/>
      <c r="J26" s="54"/>
      <c r="K26" s="54"/>
      <c r="L26" s="52"/>
    </row>
    <row r="27" spans="1:12" x14ac:dyDescent="0.3">
      <c r="A27" s="125"/>
      <c r="B27" s="125"/>
      <c r="C27" s="61" t="s">
        <v>121</v>
      </c>
      <c r="D27" s="62">
        <v>2</v>
      </c>
      <c r="E27" s="63"/>
      <c r="F27" s="64"/>
      <c r="G27" s="65" t="s">
        <v>122</v>
      </c>
      <c r="H27" s="66"/>
      <c r="I27" s="67"/>
      <c r="J27" s="67"/>
      <c r="K27" s="67"/>
      <c r="L27" s="68"/>
    </row>
    <row r="28" spans="1:12" x14ac:dyDescent="0.3">
      <c r="A28" s="126" t="s">
        <v>123</v>
      </c>
      <c r="B28" s="123" t="s">
        <v>124</v>
      </c>
      <c r="C28" s="50" t="s">
        <v>125</v>
      </c>
      <c r="D28" s="51">
        <v>2</v>
      </c>
      <c r="E28" s="52"/>
      <c r="F28" s="53"/>
      <c r="G28" s="54" t="s">
        <v>126</v>
      </c>
      <c r="H28" s="55"/>
      <c r="I28" s="54"/>
      <c r="J28" s="54"/>
      <c r="K28" s="54"/>
      <c r="L28" s="52"/>
    </row>
    <row r="29" spans="1:12" x14ac:dyDescent="0.3">
      <c r="A29" s="125"/>
      <c r="B29" s="125"/>
      <c r="C29" s="61" t="s">
        <v>127</v>
      </c>
      <c r="D29" s="62">
        <v>2</v>
      </c>
      <c r="E29" s="63"/>
      <c r="F29" s="64"/>
      <c r="G29" s="65" t="s">
        <v>128</v>
      </c>
      <c r="H29" s="66"/>
      <c r="I29" s="67"/>
      <c r="J29" s="67"/>
      <c r="K29" s="67"/>
      <c r="L29" s="68"/>
    </row>
    <row r="30" spans="1:12" x14ac:dyDescent="0.3">
      <c r="A30" s="123" t="s">
        <v>129</v>
      </c>
      <c r="B30" s="123" t="s">
        <v>130</v>
      </c>
      <c r="C30" s="50" t="s">
        <v>131</v>
      </c>
      <c r="D30" s="51">
        <v>2</v>
      </c>
      <c r="E30" s="52">
        <v>319</v>
      </c>
      <c r="F30" s="53"/>
      <c r="G30" s="54" t="s">
        <v>132</v>
      </c>
      <c r="H30" s="55"/>
      <c r="I30" s="54"/>
      <c r="J30" s="54"/>
      <c r="K30" s="54"/>
      <c r="L30" s="52"/>
    </row>
    <row r="31" spans="1:12" x14ac:dyDescent="0.3">
      <c r="A31" s="125"/>
      <c r="B31" s="125"/>
      <c r="C31" s="61" t="s">
        <v>133</v>
      </c>
      <c r="D31" s="62">
        <v>2</v>
      </c>
      <c r="E31" s="63">
        <v>295</v>
      </c>
      <c r="F31" s="64"/>
      <c r="G31" s="65" t="s">
        <v>134</v>
      </c>
      <c r="H31" s="66"/>
      <c r="I31" s="67"/>
      <c r="J31" s="67"/>
      <c r="K31" s="67"/>
      <c r="L31" s="68"/>
    </row>
    <row r="32" spans="1:12" x14ac:dyDescent="0.3">
      <c r="A32" s="69" t="s">
        <v>135</v>
      </c>
      <c r="B32" s="69" t="s">
        <v>136</v>
      </c>
      <c r="C32" s="70" t="s">
        <v>137</v>
      </c>
      <c r="D32" s="71">
        <v>2</v>
      </c>
      <c r="E32" s="68">
        <v>284</v>
      </c>
      <c r="F32" s="72"/>
      <c r="G32" s="67" t="s">
        <v>138</v>
      </c>
      <c r="H32" s="66"/>
      <c r="I32" s="67"/>
      <c r="J32" s="67"/>
      <c r="K32" s="67"/>
      <c r="L32" s="68"/>
    </row>
    <row r="33" spans="1:12" x14ac:dyDescent="0.3">
      <c r="A33" s="123" t="s">
        <v>139</v>
      </c>
      <c r="B33" s="123" t="s">
        <v>140</v>
      </c>
      <c r="C33" s="50" t="s">
        <v>141</v>
      </c>
      <c r="D33" s="51">
        <v>2</v>
      </c>
      <c r="E33" s="52">
        <v>1059</v>
      </c>
      <c r="F33" s="53"/>
      <c r="G33" s="54" t="s">
        <v>142</v>
      </c>
      <c r="H33" s="55"/>
      <c r="I33" s="54"/>
      <c r="J33" s="54"/>
      <c r="K33" s="54"/>
      <c r="L33" s="52"/>
    </row>
    <row r="34" spans="1:12" x14ac:dyDescent="0.3">
      <c r="A34" s="124"/>
      <c r="B34" s="124"/>
      <c r="C34" s="56" t="s">
        <v>143</v>
      </c>
      <c r="D34" s="57">
        <v>2</v>
      </c>
      <c r="E34" s="58">
        <v>362</v>
      </c>
      <c r="F34" s="59"/>
      <c r="G34" s="60" t="s">
        <v>144</v>
      </c>
      <c r="H34" s="55"/>
      <c r="I34" s="54"/>
      <c r="J34" s="54"/>
      <c r="K34" s="54"/>
      <c r="L34" s="52"/>
    </row>
    <row r="35" spans="1:12" x14ac:dyDescent="0.3">
      <c r="A35" s="125"/>
      <c r="B35" s="125"/>
      <c r="C35" s="61" t="s">
        <v>145</v>
      </c>
      <c r="D35" s="62">
        <v>3</v>
      </c>
      <c r="E35" s="63">
        <v>367</v>
      </c>
      <c r="F35" s="64"/>
      <c r="G35" s="65" t="s">
        <v>146</v>
      </c>
      <c r="H35" s="66"/>
      <c r="I35" s="67"/>
      <c r="J35" s="67"/>
      <c r="K35" s="67"/>
      <c r="L35" s="68"/>
    </row>
    <row r="36" spans="1:12" x14ac:dyDescent="0.3">
      <c r="A36" s="123" t="s">
        <v>147</v>
      </c>
      <c r="B36" s="123" t="s">
        <v>148</v>
      </c>
      <c r="C36" s="50" t="s">
        <v>149</v>
      </c>
      <c r="D36" s="52"/>
      <c r="E36" s="52"/>
      <c r="F36" s="53"/>
      <c r="G36" s="54" t="s">
        <v>150</v>
      </c>
      <c r="H36" s="55"/>
      <c r="I36" s="54"/>
      <c r="J36" s="54"/>
      <c r="K36" s="54"/>
      <c r="L36" s="52"/>
    </row>
    <row r="37" spans="1:12" x14ac:dyDescent="0.3">
      <c r="A37" s="125"/>
      <c r="B37" s="125"/>
      <c r="C37" s="61" t="s">
        <v>151</v>
      </c>
      <c r="D37" s="62">
        <v>2</v>
      </c>
      <c r="E37" s="63">
        <v>646</v>
      </c>
      <c r="F37" s="64"/>
      <c r="G37" s="65" t="s">
        <v>152</v>
      </c>
      <c r="H37" s="66"/>
      <c r="I37" s="67"/>
      <c r="J37" s="67"/>
      <c r="K37" s="67"/>
      <c r="L37" s="68"/>
    </row>
    <row r="38" spans="1:12" x14ac:dyDescent="0.3">
      <c r="A38" s="123" t="s">
        <v>153</v>
      </c>
      <c r="B38" s="123" t="s">
        <v>154</v>
      </c>
      <c r="C38" s="50" t="s">
        <v>155</v>
      </c>
      <c r="D38" s="51">
        <v>2</v>
      </c>
      <c r="E38" s="52">
        <v>923</v>
      </c>
      <c r="F38" s="53"/>
      <c r="G38" s="54" t="s">
        <v>156</v>
      </c>
      <c r="H38" s="55"/>
      <c r="I38" s="54"/>
      <c r="J38" s="54"/>
      <c r="K38" s="54"/>
      <c r="L38" s="52"/>
    </row>
    <row r="39" spans="1:12" x14ac:dyDescent="0.3">
      <c r="A39" s="124"/>
      <c r="B39" s="124"/>
      <c r="C39" s="56" t="s">
        <v>157</v>
      </c>
      <c r="D39" s="57">
        <v>2</v>
      </c>
      <c r="E39" s="58">
        <v>494</v>
      </c>
      <c r="F39" s="59"/>
      <c r="G39" s="60" t="s">
        <v>158</v>
      </c>
      <c r="H39" s="55"/>
      <c r="I39" s="54"/>
      <c r="J39" s="54"/>
      <c r="K39" s="54"/>
      <c r="L39" s="52"/>
    </row>
    <row r="40" spans="1:12" x14ac:dyDescent="0.3">
      <c r="A40" s="124"/>
      <c r="B40" s="124"/>
      <c r="C40" s="56" t="s">
        <v>159</v>
      </c>
      <c r="D40" s="57">
        <v>2</v>
      </c>
      <c r="E40" s="58">
        <v>1104</v>
      </c>
      <c r="F40" s="59"/>
      <c r="G40" s="60" t="s">
        <v>160</v>
      </c>
      <c r="H40" s="55"/>
      <c r="I40" s="54"/>
      <c r="J40" s="54"/>
      <c r="K40" s="54"/>
      <c r="L40" s="52"/>
    </row>
    <row r="41" spans="1:12" x14ac:dyDescent="0.3">
      <c r="A41" s="124"/>
      <c r="B41" s="124"/>
      <c r="C41" s="56" t="s">
        <v>161</v>
      </c>
      <c r="D41" s="57">
        <v>2</v>
      </c>
      <c r="E41" s="58"/>
      <c r="F41" s="59"/>
      <c r="G41" s="60" t="s">
        <v>162</v>
      </c>
      <c r="H41" s="55"/>
      <c r="I41" s="54"/>
      <c r="J41" s="54"/>
      <c r="K41" s="54"/>
      <c r="L41" s="52"/>
    </row>
    <row r="42" spans="1:12" x14ac:dyDescent="0.3">
      <c r="A42" s="124"/>
      <c r="B42" s="124"/>
      <c r="C42" s="56" t="s">
        <v>163</v>
      </c>
      <c r="D42" s="57">
        <v>2</v>
      </c>
      <c r="E42" s="58">
        <v>265</v>
      </c>
      <c r="F42" s="59"/>
      <c r="G42" s="60" t="s">
        <v>164</v>
      </c>
      <c r="H42" s="55"/>
      <c r="I42" s="54"/>
      <c r="J42" s="54"/>
      <c r="K42" s="54"/>
      <c r="L42" s="52"/>
    </row>
    <row r="43" spans="1:12" x14ac:dyDescent="0.3">
      <c r="A43" s="125"/>
      <c r="B43" s="125"/>
      <c r="C43" s="61" t="s">
        <v>165</v>
      </c>
      <c r="D43" s="62">
        <v>2</v>
      </c>
      <c r="E43" s="63">
        <v>477</v>
      </c>
      <c r="F43" s="64"/>
      <c r="G43" s="65" t="s">
        <v>166</v>
      </c>
      <c r="H43" s="66"/>
      <c r="I43" s="67"/>
      <c r="J43" s="67"/>
      <c r="K43" s="67"/>
      <c r="L43" s="68"/>
    </row>
  </sheetData>
  <autoFilter ref="C1:L43" xr:uid="{00000000-0009-0000-0000-000003000000}"/>
  <mergeCells count="22">
    <mergeCell ref="B18:B21"/>
    <mergeCell ref="A2:A8"/>
    <mergeCell ref="B2:B8"/>
    <mergeCell ref="A9:A12"/>
    <mergeCell ref="B9:B12"/>
    <mergeCell ref="A13:A17"/>
    <mergeCell ref="B13:B17"/>
    <mergeCell ref="A33:A35"/>
    <mergeCell ref="A36:A37"/>
    <mergeCell ref="A38:A43"/>
    <mergeCell ref="B22:B25"/>
    <mergeCell ref="B26:B27"/>
    <mergeCell ref="B28:B29"/>
    <mergeCell ref="B30:B31"/>
    <mergeCell ref="B33:B35"/>
    <mergeCell ref="B36:B37"/>
    <mergeCell ref="B38:B43"/>
    <mergeCell ref="A18:A21"/>
    <mergeCell ref="A22:A25"/>
    <mergeCell ref="A26:A27"/>
    <mergeCell ref="A28:A29"/>
    <mergeCell ref="A30:A31"/>
  </mergeCells>
  <conditionalFormatting sqref="C2:C43 E2:G43 D14:D15 H15 D36 I2:K43">
    <cfRule type="expression" dxfId="183" priority="2">
      <formula>$L2="ENVIRONMENT"</formula>
    </cfRule>
  </conditionalFormatting>
  <conditionalFormatting sqref="C2:C43 E2:G43 D14:D15 H15 D36">
    <cfRule type="expression" dxfId="182" priority="1">
      <formula>$H2="Not Applicable"</formula>
    </cfRule>
  </conditionalFormatting>
  <conditionalFormatting sqref="C2:C43 E2:G43 I2:K43 D14:D15 H15 D36">
    <cfRule type="expression" dxfId="181" priority="3">
      <formula>$L2="NX-FRAME"</formula>
    </cfRule>
    <cfRule type="expression" dxfId="180" priority="4">
      <formula>$L2="OUT OF SCOPE"</formula>
    </cfRule>
  </conditionalFormatting>
  <conditionalFormatting sqref="H2:H13 H15:H43">
    <cfRule type="expression" dxfId="179" priority="6">
      <formula>$H2="Valid"</formula>
    </cfRule>
    <cfRule type="expression" dxfId="178" priority="7">
      <formula>$H2="Invalid"</formula>
    </cfRule>
    <cfRule type="expression" dxfId="177" priority="8">
      <formula>$H2="Not Applicable"</formula>
    </cfRule>
  </conditionalFormatting>
  <conditionalFormatting sqref="H15 C2:C43 E2:G43 I2:K43 D14:D15 D36">
    <cfRule type="expression" dxfId="176" priority="9">
      <formula>$L2="APPLICATION"</formula>
    </cfRule>
  </conditionalFormatting>
  <conditionalFormatting sqref="H15:H43 H2:H13">
    <cfRule type="expression" dxfId="175" priority="5">
      <formula>_xludf.AND($H2&lt;&gt;"Not Applicable",$H2&lt;&gt;"Invalid",$H2&lt;&gt;"Valid")</formula>
    </cfRule>
  </conditionalFormatting>
  <conditionalFormatting sqref="L2:L43">
    <cfRule type="expression" dxfId="174" priority="10">
      <formula>$L2="APPLICATION"</formula>
    </cfRule>
    <cfRule type="expression" dxfId="173" priority="11">
      <formula>$L2="ENVIRONMENT"</formula>
    </cfRule>
    <cfRule type="expression" dxfId="172" priority="12">
      <formula>$L2="NX-FRAME"</formula>
    </cfRule>
    <cfRule type="expression" dxfId="171" priority="13">
      <formula>$L2="OUT OF SCOPE"</formula>
    </cfRule>
  </conditionalFormatting>
  <dataValidations count="2">
    <dataValidation type="list" allowBlank="1" showErrorMessage="1" sqref="L2:L13 L16:L43" xr:uid="{00000000-0002-0000-0300-000000000000}">
      <formula1>"NX-FRAME,APPLICATION,ENVIRONMENT,OUT OF SCOPE"</formula1>
    </dataValidation>
    <dataValidation type="list" allowBlank="1" showErrorMessage="1" sqref="H2:H13 H16:H43" xr:uid="{00000000-0002-0000-0300-000001000000}">
      <formula1>"Valid,Invalid,Not Applicable"</formula1>
    </dataValidation>
  </dataValidations>
  <pageMargins left="0.78749999999999998" right="0.78749999999999998" top="1.0249999999999999" bottom="1.0249999999999999" header="0" footer="0"/>
  <pageSetup paperSize="9" orientation="portrait"/>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6.5546875" customWidth="1"/>
    <col min="2" max="2" width="22" customWidth="1"/>
    <col min="3" max="3" width="6.5546875" customWidth="1"/>
    <col min="4" max="4" width="16" customWidth="1"/>
    <col min="5" max="5" width="8.109375" customWidth="1"/>
    <col min="6" max="6" width="14.109375" customWidth="1"/>
    <col min="7" max="7" width="76" customWidth="1"/>
    <col min="8" max="8" width="8.44140625" customWidth="1"/>
    <col min="9" max="9" width="24.44140625" customWidth="1"/>
    <col min="10" max="11" width="12.6640625" customWidth="1"/>
    <col min="12" max="12" width="17.109375" customWidth="1"/>
  </cols>
  <sheetData>
    <row r="1" spans="1:12" x14ac:dyDescent="0.3">
      <c r="A1" s="47" t="s">
        <v>49</v>
      </c>
      <c r="B1" s="48" t="s">
        <v>50</v>
      </c>
      <c r="C1" s="48" t="s">
        <v>49</v>
      </c>
      <c r="D1" s="48" t="s">
        <v>51</v>
      </c>
      <c r="E1" s="48" t="s">
        <v>52</v>
      </c>
      <c r="F1" s="48" t="s">
        <v>53</v>
      </c>
      <c r="G1" s="48" t="s">
        <v>54</v>
      </c>
      <c r="H1" s="48" t="s">
        <v>22</v>
      </c>
      <c r="I1" s="49" t="s">
        <v>55</v>
      </c>
      <c r="J1" s="48" t="s">
        <v>56</v>
      </c>
      <c r="K1" s="48" t="s">
        <v>57</v>
      </c>
      <c r="L1" s="48" t="s">
        <v>58</v>
      </c>
    </row>
    <row r="2" spans="1:12" x14ac:dyDescent="0.3">
      <c r="A2" s="127" t="s">
        <v>167</v>
      </c>
      <c r="B2" s="127" t="s">
        <v>168</v>
      </c>
      <c r="C2" s="50" t="s">
        <v>169</v>
      </c>
      <c r="D2" s="73">
        <v>1</v>
      </c>
      <c r="E2" s="52">
        <v>521</v>
      </c>
      <c r="F2" s="52" t="s">
        <v>170</v>
      </c>
      <c r="G2" s="54" t="s">
        <v>171</v>
      </c>
      <c r="H2" s="55"/>
      <c r="I2" s="54"/>
      <c r="J2" s="54"/>
      <c r="K2" s="54"/>
      <c r="L2" s="55"/>
    </row>
    <row r="3" spans="1:12" x14ac:dyDescent="0.3">
      <c r="A3" s="124"/>
      <c r="B3" s="124"/>
      <c r="C3" s="50" t="s">
        <v>172</v>
      </c>
      <c r="D3" s="73">
        <v>1</v>
      </c>
      <c r="E3" s="52">
        <v>521</v>
      </c>
      <c r="F3" s="52" t="s">
        <v>170</v>
      </c>
      <c r="G3" s="54" t="s">
        <v>173</v>
      </c>
      <c r="H3" s="55"/>
      <c r="I3" s="54"/>
      <c r="J3" s="54"/>
      <c r="K3" s="54"/>
      <c r="L3" s="55"/>
    </row>
    <row r="4" spans="1:12" x14ac:dyDescent="0.3">
      <c r="A4" s="124"/>
      <c r="B4" s="124"/>
      <c r="C4" s="50" t="s">
        <v>174</v>
      </c>
      <c r="D4" s="73">
        <v>1</v>
      </c>
      <c r="E4" s="52">
        <v>521</v>
      </c>
      <c r="F4" s="52" t="s">
        <v>170</v>
      </c>
      <c r="G4" s="54" t="s">
        <v>175</v>
      </c>
      <c r="H4" s="55"/>
      <c r="I4" s="54"/>
      <c r="J4" s="54"/>
      <c r="K4" s="54"/>
      <c r="L4" s="55"/>
    </row>
    <row r="5" spans="1:12" x14ac:dyDescent="0.3">
      <c r="A5" s="124"/>
      <c r="B5" s="124"/>
      <c r="C5" s="50" t="s">
        <v>176</v>
      </c>
      <c r="D5" s="73">
        <v>1</v>
      </c>
      <c r="E5" s="52">
        <v>521</v>
      </c>
      <c r="F5" s="52" t="s">
        <v>170</v>
      </c>
      <c r="G5" s="54" t="s">
        <v>177</v>
      </c>
      <c r="H5" s="55"/>
      <c r="I5" s="54"/>
      <c r="J5" s="54"/>
      <c r="K5" s="54"/>
      <c r="L5" s="55"/>
    </row>
    <row r="6" spans="1:12" x14ac:dyDescent="0.3">
      <c r="A6" s="124"/>
      <c r="B6" s="124"/>
      <c r="C6" s="50" t="s">
        <v>178</v>
      </c>
      <c r="D6" s="73">
        <v>1</v>
      </c>
      <c r="E6" s="52">
        <v>620</v>
      </c>
      <c r="F6" s="52" t="s">
        <v>170</v>
      </c>
      <c r="G6" s="54" t="s">
        <v>179</v>
      </c>
      <c r="H6" s="55"/>
      <c r="I6" s="54"/>
      <c r="J6" s="54"/>
      <c r="K6" s="54"/>
      <c r="L6" s="55"/>
    </row>
    <row r="7" spans="1:12" x14ac:dyDescent="0.3">
      <c r="A7" s="124"/>
      <c r="B7" s="124"/>
      <c r="C7" s="50" t="s">
        <v>180</v>
      </c>
      <c r="D7" s="73">
        <v>1</v>
      </c>
      <c r="E7" s="52">
        <v>620</v>
      </c>
      <c r="F7" s="52" t="s">
        <v>170</v>
      </c>
      <c r="G7" s="54" t="s">
        <v>181</v>
      </c>
      <c r="H7" s="55"/>
      <c r="I7" s="54"/>
      <c r="J7" s="54"/>
      <c r="K7" s="54"/>
      <c r="L7" s="55"/>
    </row>
    <row r="8" spans="1:12" x14ac:dyDescent="0.3">
      <c r="A8" s="124"/>
      <c r="B8" s="124"/>
      <c r="C8" s="50" t="s">
        <v>182</v>
      </c>
      <c r="D8" s="73">
        <v>1</v>
      </c>
      <c r="E8" s="52">
        <v>521</v>
      </c>
      <c r="F8" s="52" t="s">
        <v>170</v>
      </c>
      <c r="G8" s="54" t="s">
        <v>183</v>
      </c>
      <c r="H8" s="55"/>
      <c r="I8" s="54"/>
      <c r="J8" s="54"/>
      <c r="K8" s="54"/>
      <c r="L8" s="55"/>
    </row>
    <row r="9" spans="1:12" x14ac:dyDescent="0.3">
      <c r="A9" s="124"/>
      <c r="B9" s="124"/>
      <c r="C9" s="50" t="s">
        <v>184</v>
      </c>
      <c r="D9" s="73">
        <v>1</v>
      </c>
      <c r="E9" s="52">
        <v>521</v>
      </c>
      <c r="F9" s="52" t="s">
        <v>170</v>
      </c>
      <c r="G9" s="54" t="s">
        <v>185</v>
      </c>
      <c r="H9" s="55"/>
      <c r="I9" s="54"/>
      <c r="J9" s="54"/>
      <c r="K9" s="54"/>
      <c r="L9" s="55"/>
    </row>
    <row r="10" spans="1:12" x14ac:dyDescent="0.3">
      <c r="A10" s="124"/>
      <c r="B10" s="124"/>
      <c r="C10" s="50" t="s">
        <v>186</v>
      </c>
      <c r="D10" s="73">
        <v>1</v>
      </c>
      <c r="E10" s="52">
        <v>521</v>
      </c>
      <c r="F10" s="52" t="s">
        <v>170</v>
      </c>
      <c r="G10" s="54" t="s">
        <v>187</v>
      </c>
      <c r="H10" s="55"/>
      <c r="I10" s="54"/>
      <c r="J10" s="54"/>
      <c r="K10" s="54"/>
      <c r="L10" s="55"/>
    </row>
    <row r="11" spans="1:12" x14ac:dyDescent="0.3">
      <c r="A11" s="124"/>
      <c r="B11" s="124"/>
      <c r="C11" s="50" t="s">
        <v>188</v>
      </c>
      <c r="D11" s="73">
        <v>1</v>
      </c>
      <c r="E11" s="52">
        <v>263</v>
      </c>
      <c r="F11" s="52" t="s">
        <v>170</v>
      </c>
      <c r="G11" s="54" t="s">
        <v>189</v>
      </c>
      <c r="H11" s="55"/>
      <c r="I11" s="54"/>
      <c r="J11" s="54"/>
      <c r="K11" s="54"/>
      <c r="L11" s="55"/>
    </row>
    <row r="12" spans="1:12" x14ac:dyDescent="0.3">
      <c r="A12" s="124"/>
      <c r="B12" s="124"/>
      <c r="C12" s="50" t="s">
        <v>190</v>
      </c>
      <c r="D12" s="73">
        <v>1</v>
      </c>
      <c r="E12" s="52">
        <v>521</v>
      </c>
      <c r="F12" s="52" t="s">
        <v>170</v>
      </c>
      <c r="G12" s="54" t="s">
        <v>191</v>
      </c>
      <c r="H12" s="55"/>
      <c r="I12" s="54"/>
      <c r="J12" s="54"/>
      <c r="K12" s="54"/>
      <c r="L12" s="55"/>
    </row>
    <row r="13" spans="1:12" x14ac:dyDescent="0.3">
      <c r="A13" s="125"/>
      <c r="B13" s="125"/>
      <c r="C13" s="70" t="s">
        <v>192</v>
      </c>
      <c r="D13" s="74">
        <v>1</v>
      </c>
      <c r="E13" s="68">
        <v>521</v>
      </c>
      <c r="F13" s="68" t="s">
        <v>170</v>
      </c>
      <c r="G13" s="67" t="s">
        <v>193</v>
      </c>
      <c r="H13" s="66"/>
      <c r="I13" s="67"/>
      <c r="J13" s="67"/>
      <c r="K13" s="67"/>
      <c r="L13" s="66"/>
    </row>
    <row r="14" spans="1:12" x14ac:dyDescent="0.3">
      <c r="A14" s="123" t="s">
        <v>194</v>
      </c>
      <c r="B14" s="123" t="s">
        <v>195</v>
      </c>
      <c r="C14" s="50" t="s">
        <v>196</v>
      </c>
      <c r="D14" s="73">
        <v>1</v>
      </c>
      <c r="E14" s="52">
        <v>307</v>
      </c>
      <c r="F14" s="52" t="s">
        <v>197</v>
      </c>
      <c r="G14" s="54" t="s">
        <v>198</v>
      </c>
      <c r="H14" s="55"/>
      <c r="I14" s="54"/>
      <c r="J14" s="54"/>
      <c r="K14" s="54"/>
      <c r="L14" s="55"/>
    </row>
    <row r="15" spans="1:12" x14ac:dyDescent="0.3">
      <c r="A15" s="124"/>
      <c r="B15" s="124"/>
      <c r="C15" s="50" t="s">
        <v>199</v>
      </c>
      <c r="D15" s="73">
        <v>1</v>
      </c>
      <c r="E15" s="52">
        <v>304</v>
      </c>
      <c r="F15" s="52" t="s">
        <v>200</v>
      </c>
      <c r="G15" s="54" t="s">
        <v>201</v>
      </c>
      <c r="H15" s="55"/>
      <c r="I15" s="54"/>
      <c r="J15" s="54"/>
      <c r="K15" s="54"/>
      <c r="L15" s="55"/>
    </row>
    <row r="16" spans="1:12" x14ac:dyDescent="0.3">
      <c r="A16" s="124"/>
      <c r="B16" s="124"/>
      <c r="C16" s="50" t="s">
        <v>202</v>
      </c>
      <c r="D16" s="73">
        <v>1</v>
      </c>
      <c r="E16" s="52">
        <v>620</v>
      </c>
      <c r="F16" s="52"/>
      <c r="G16" s="54" t="s">
        <v>203</v>
      </c>
      <c r="H16" s="55"/>
      <c r="I16" s="54"/>
      <c r="J16" s="54"/>
      <c r="K16" s="54"/>
      <c r="L16" s="55"/>
    </row>
    <row r="17" spans="1:12" x14ac:dyDescent="0.3">
      <c r="A17" s="124"/>
      <c r="B17" s="124"/>
      <c r="C17" s="50" t="s">
        <v>204</v>
      </c>
      <c r="D17" s="75">
        <v>3</v>
      </c>
      <c r="E17" s="52">
        <v>308</v>
      </c>
      <c r="F17" s="52" t="s">
        <v>205</v>
      </c>
      <c r="G17" s="54" t="s">
        <v>206</v>
      </c>
      <c r="H17" s="55"/>
      <c r="I17" s="54"/>
      <c r="J17" s="54"/>
      <c r="K17" s="54"/>
      <c r="L17" s="55"/>
    </row>
    <row r="18" spans="1:12" x14ac:dyDescent="0.3">
      <c r="A18" s="124"/>
      <c r="B18" s="124"/>
      <c r="C18" s="50" t="s">
        <v>207</v>
      </c>
      <c r="D18" s="75">
        <v>3</v>
      </c>
      <c r="E18" s="52">
        <v>319</v>
      </c>
      <c r="F18" s="52" t="s">
        <v>208</v>
      </c>
      <c r="G18" s="54" t="s">
        <v>209</v>
      </c>
      <c r="H18" s="55"/>
      <c r="I18" s="54"/>
      <c r="J18" s="54"/>
      <c r="K18" s="54"/>
      <c r="L18" s="55"/>
    </row>
    <row r="19" spans="1:12" x14ac:dyDescent="0.3">
      <c r="A19" s="124"/>
      <c r="B19" s="124"/>
      <c r="C19" s="50" t="s">
        <v>210</v>
      </c>
      <c r="D19" s="75">
        <v>3</v>
      </c>
      <c r="E19" s="52">
        <v>308</v>
      </c>
      <c r="F19" s="52" t="s">
        <v>211</v>
      </c>
      <c r="G19" s="54" t="s">
        <v>212</v>
      </c>
      <c r="H19" s="55"/>
      <c r="I19" s="54"/>
      <c r="J19" s="54"/>
      <c r="K19" s="54"/>
      <c r="L19" s="55"/>
    </row>
    <row r="20" spans="1:12" x14ac:dyDescent="0.3">
      <c r="A20" s="125"/>
      <c r="B20" s="125"/>
      <c r="C20" s="70" t="s">
        <v>213</v>
      </c>
      <c r="D20" s="76">
        <v>3</v>
      </c>
      <c r="E20" s="68">
        <v>308</v>
      </c>
      <c r="F20" s="68" t="s">
        <v>214</v>
      </c>
      <c r="G20" s="67" t="s">
        <v>215</v>
      </c>
      <c r="H20" s="66"/>
      <c r="I20" s="67"/>
      <c r="J20" s="67"/>
      <c r="K20" s="67"/>
      <c r="L20" s="66"/>
    </row>
    <row r="21" spans="1:12" x14ac:dyDescent="0.3">
      <c r="A21" s="123" t="s">
        <v>216</v>
      </c>
      <c r="B21" s="123" t="s">
        <v>217</v>
      </c>
      <c r="C21" s="50" t="s">
        <v>218</v>
      </c>
      <c r="D21" s="73">
        <v>1</v>
      </c>
      <c r="E21" s="52">
        <v>330</v>
      </c>
      <c r="F21" s="52" t="s">
        <v>219</v>
      </c>
      <c r="G21" s="54" t="s">
        <v>220</v>
      </c>
      <c r="H21" s="55"/>
      <c r="I21" s="54"/>
      <c r="J21" s="54"/>
      <c r="K21" s="54"/>
      <c r="L21" s="55"/>
    </row>
    <row r="22" spans="1:12" x14ac:dyDescent="0.3">
      <c r="A22" s="124"/>
      <c r="B22" s="124"/>
      <c r="C22" s="50" t="s">
        <v>221</v>
      </c>
      <c r="D22" s="77">
        <v>2</v>
      </c>
      <c r="E22" s="52">
        <v>308</v>
      </c>
      <c r="F22" s="52" t="s">
        <v>222</v>
      </c>
      <c r="G22" s="54" t="s">
        <v>223</v>
      </c>
      <c r="H22" s="55"/>
      <c r="I22" s="54"/>
      <c r="J22" s="54"/>
      <c r="K22" s="54"/>
      <c r="L22" s="55"/>
    </row>
    <row r="23" spans="1:12" x14ac:dyDescent="0.3">
      <c r="A23" s="125"/>
      <c r="B23" s="125"/>
      <c r="C23" s="70" t="s">
        <v>224</v>
      </c>
      <c r="D23" s="78">
        <v>2</v>
      </c>
      <c r="E23" s="68">
        <v>287</v>
      </c>
      <c r="F23" s="68" t="s">
        <v>225</v>
      </c>
      <c r="G23" s="67" t="s">
        <v>226</v>
      </c>
      <c r="H23" s="66"/>
      <c r="I23" s="67"/>
      <c r="J23" s="67"/>
      <c r="K23" s="67"/>
      <c r="L23" s="66"/>
    </row>
    <row r="24" spans="1:12" x14ac:dyDescent="0.3">
      <c r="A24" s="123" t="s">
        <v>227</v>
      </c>
      <c r="B24" s="126" t="s">
        <v>228</v>
      </c>
      <c r="C24" s="50" t="s">
        <v>229</v>
      </c>
      <c r="D24" s="77">
        <v>2</v>
      </c>
      <c r="E24" s="52">
        <v>916</v>
      </c>
      <c r="F24" s="52" t="s">
        <v>170</v>
      </c>
      <c r="G24" s="54" t="s">
        <v>230</v>
      </c>
      <c r="H24" s="55"/>
      <c r="I24" s="54"/>
      <c r="J24" s="54"/>
      <c r="K24" s="54"/>
      <c r="L24" s="55"/>
    </row>
    <row r="25" spans="1:12" x14ac:dyDescent="0.3">
      <c r="A25" s="124"/>
      <c r="B25" s="124"/>
      <c r="C25" s="50" t="s">
        <v>231</v>
      </c>
      <c r="D25" s="77">
        <v>2</v>
      </c>
      <c r="E25" s="52">
        <v>916</v>
      </c>
      <c r="F25" s="52" t="s">
        <v>170</v>
      </c>
      <c r="G25" s="54" t="s">
        <v>232</v>
      </c>
      <c r="H25" s="55"/>
      <c r="I25" s="54"/>
      <c r="J25" s="54"/>
      <c r="K25" s="54"/>
      <c r="L25" s="55"/>
    </row>
    <row r="26" spans="1:12" x14ac:dyDescent="0.3">
      <c r="A26" s="124"/>
      <c r="B26" s="124"/>
      <c r="C26" s="50" t="s">
        <v>233</v>
      </c>
      <c r="D26" s="77">
        <v>2</v>
      </c>
      <c r="E26" s="52">
        <v>916</v>
      </c>
      <c r="F26" s="52" t="s">
        <v>170</v>
      </c>
      <c r="G26" s="54" t="s">
        <v>234</v>
      </c>
      <c r="H26" s="55"/>
      <c r="I26" s="54"/>
      <c r="J26" s="54"/>
      <c r="K26" s="54"/>
      <c r="L26" s="55"/>
    </row>
    <row r="27" spans="1:12" x14ac:dyDescent="0.3">
      <c r="A27" s="124"/>
      <c r="B27" s="124"/>
      <c r="C27" s="50" t="s">
        <v>235</v>
      </c>
      <c r="D27" s="77">
        <v>2</v>
      </c>
      <c r="E27" s="52">
        <v>916</v>
      </c>
      <c r="F27" s="52" t="s">
        <v>170</v>
      </c>
      <c r="G27" s="54" t="s">
        <v>236</v>
      </c>
      <c r="H27" s="55"/>
      <c r="I27" s="54"/>
      <c r="J27" s="54"/>
      <c r="K27" s="54"/>
      <c r="L27" s="55"/>
    </row>
    <row r="28" spans="1:12" x14ac:dyDescent="0.3">
      <c r="A28" s="125"/>
      <c r="B28" s="125"/>
      <c r="C28" s="70" t="s">
        <v>237</v>
      </c>
      <c r="D28" s="78">
        <v>2</v>
      </c>
      <c r="E28" s="68">
        <v>916</v>
      </c>
      <c r="F28" s="68" t="s">
        <v>170</v>
      </c>
      <c r="G28" s="67" t="s">
        <v>238</v>
      </c>
      <c r="H28" s="66"/>
      <c r="I28" s="67"/>
      <c r="J28" s="67"/>
      <c r="K28" s="67"/>
      <c r="L28" s="66"/>
    </row>
    <row r="29" spans="1:12" x14ac:dyDescent="0.3">
      <c r="A29" s="123" t="s">
        <v>239</v>
      </c>
      <c r="B29" s="123" t="s">
        <v>240</v>
      </c>
      <c r="C29" s="50" t="s">
        <v>241</v>
      </c>
      <c r="D29" s="73">
        <v>1</v>
      </c>
      <c r="E29" s="52">
        <v>640</v>
      </c>
      <c r="F29" s="52" t="s">
        <v>170</v>
      </c>
      <c r="G29" s="54" t="s">
        <v>242</v>
      </c>
      <c r="H29" s="55"/>
      <c r="I29" s="54"/>
      <c r="J29" s="54"/>
      <c r="K29" s="54"/>
      <c r="L29" s="55"/>
    </row>
    <row r="30" spans="1:12" x14ac:dyDescent="0.3">
      <c r="A30" s="124"/>
      <c r="B30" s="124"/>
      <c r="C30" s="50" t="s">
        <v>243</v>
      </c>
      <c r="D30" s="73">
        <v>1</v>
      </c>
      <c r="E30" s="52">
        <v>640</v>
      </c>
      <c r="F30" s="52" t="s">
        <v>170</v>
      </c>
      <c r="G30" s="54" t="s">
        <v>244</v>
      </c>
      <c r="H30" s="55"/>
      <c r="I30" s="54"/>
      <c r="J30" s="54"/>
      <c r="K30" s="54"/>
      <c r="L30" s="55"/>
    </row>
    <row r="31" spans="1:12" x14ac:dyDescent="0.3">
      <c r="A31" s="124"/>
      <c r="B31" s="124"/>
      <c r="C31" s="50" t="s">
        <v>245</v>
      </c>
      <c r="D31" s="73">
        <v>1</v>
      </c>
      <c r="E31" s="52">
        <v>640</v>
      </c>
      <c r="F31" s="52" t="s">
        <v>170</v>
      </c>
      <c r="G31" s="54" t="s">
        <v>246</v>
      </c>
      <c r="H31" s="55"/>
      <c r="I31" s="54"/>
      <c r="J31" s="54"/>
      <c r="K31" s="54"/>
      <c r="L31" s="55"/>
    </row>
    <row r="32" spans="1:12" x14ac:dyDescent="0.3">
      <c r="A32" s="124"/>
      <c r="B32" s="124"/>
      <c r="C32" s="50" t="s">
        <v>247</v>
      </c>
      <c r="D32" s="73">
        <v>1</v>
      </c>
      <c r="E32" s="52">
        <v>16</v>
      </c>
      <c r="F32" s="52" t="s">
        <v>219</v>
      </c>
      <c r="G32" s="54" t="s">
        <v>248</v>
      </c>
      <c r="H32" s="55"/>
      <c r="I32" s="54"/>
      <c r="J32" s="79"/>
      <c r="K32" s="54"/>
      <c r="L32" s="55"/>
    </row>
    <row r="33" spans="1:12" x14ac:dyDescent="0.3">
      <c r="A33" s="124"/>
      <c r="B33" s="124"/>
      <c r="C33" s="50" t="s">
        <v>249</v>
      </c>
      <c r="D33" s="73">
        <v>1</v>
      </c>
      <c r="E33" s="52">
        <v>304</v>
      </c>
      <c r="F33" s="52" t="s">
        <v>250</v>
      </c>
      <c r="G33" s="54" t="s">
        <v>251</v>
      </c>
      <c r="H33" s="55"/>
      <c r="I33" s="54"/>
      <c r="J33" s="54"/>
      <c r="K33" s="54"/>
      <c r="L33" s="55"/>
    </row>
    <row r="34" spans="1:12" x14ac:dyDescent="0.3">
      <c r="A34" s="124"/>
      <c r="B34" s="124"/>
      <c r="C34" s="50" t="s">
        <v>252</v>
      </c>
      <c r="D34" s="73">
        <v>1</v>
      </c>
      <c r="E34" s="52">
        <v>640</v>
      </c>
      <c r="F34" s="52" t="s">
        <v>170</v>
      </c>
      <c r="G34" s="54" t="s">
        <v>253</v>
      </c>
      <c r="H34" s="55"/>
      <c r="I34" s="54"/>
      <c r="J34" s="54"/>
      <c r="K34" s="54"/>
      <c r="L34" s="55"/>
    </row>
    <row r="35" spans="1:12" x14ac:dyDescent="0.3">
      <c r="A35" s="125"/>
      <c r="B35" s="125"/>
      <c r="C35" s="70" t="s">
        <v>254</v>
      </c>
      <c r="D35" s="78">
        <v>2</v>
      </c>
      <c r="E35" s="68">
        <v>308</v>
      </c>
      <c r="F35" s="68" t="s">
        <v>250</v>
      </c>
      <c r="G35" s="67" t="s">
        <v>255</v>
      </c>
      <c r="H35" s="66"/>
      <c r="I35" s="67"/>
      <c r="J35" s="67"/>
      <c r="K35" s="67"/>
      <c r="L35" s="66"/>
    </row>
    <row r="36" spans="1:12" x14ac:dyDescent="0.3">
      <c r="A36" s="123" t="s">
        <v>256</v>
      </c>
      <c r="B36" s="123" t="s">
        <v>257</v>
      </c>
      <c r="C36" s="50" t="s">
        <v>258</v>
      </c>
      <c r="D36" s="77">
        <v>2</v>
      </c>
      <c r="E36" s="52">
        <v>308</v>
      </c>
      <c r="F36" s="52" t="s">
        <v>259</v>
      </c>
      <c r="G36" s="54" t="s">
        <v>260</v>
      </c>
      <c r="H36" s="55"/>
      <c r="I36" s="54"/>
      <c r="J36" s="54"/>
      <c r="K36" s="54"/>
      <c r="L36" s="55"/>
    </row>
    <row r="37" spans="1:12" x14ac:dyDescent="0.3">
      <c r="A37" s="124"/>
      <c r="B37" s="124"/>
      <c r="C37" s="50" t="s">
        <v>261</v>
      </c>
      <c r="D37" s="77">
        <v>2</v>
      </c>
      <c r="E37" s="52">
        <v>330</v>
      </c>
      <c r="F37" s="52" t="s">
        <v>259</v>
      </c>
      <c r="G37" s="54" t="s">
        <v>262</v>
      </c>
      <c r="H37" s="55"/>
      <c r="I37" s="54"/>
      <c r="J37" s="54"/>
      <c r="K37" s="54"/>
      <c r="L37" s="55"/>
    </row>
    <row r="38" spans="1:12" x14ac:dyDescent="0.3">
      <c r="A38" s="125"/>
      <c r="B38" s="125"/>
      <c r="C38" s="70" t="s">
        <v>263</v>
      </c>
      <c r="D38" s="78">
        <v>2</v>
      </c>
      <c r="E38" s="68">
        <v>310</v>
      </c>
      <c r="F38" s="68" t="s">
        <v>259</v>
      </c>
      <c r="G38" s="67" t="s">
        <v>264</v>
      </c>
      <c r="H38" s="66"/>
      <c r="I38" s="67"/>
      <c r="J38" s="67"/>
      <c r="K38" s="67"/>
      <c r="L38" s="66"/>
    </row>
    <row r="39" spans="1:12" x14ac:dyDescent="0.3">
      <c r="A39" s="123" t="s">
        <v>265</v>
      </c>
      <c r="B39" s="123" t="s">
        <v>266</v>
      </c>
      <c r="C39" s="50" t="s">
        <v>267</v>
      </c>
      <c r="D39" s="73">
        <v>1</v>
      </c>
      <c r="E39" s="52">
        <v>287</v>
      </c>
      <c r="F39" s="52" t="s">
        <v>268</v>
      </c>
      <c r="G39" s="54" t="s">
        <v>269</v>
      </c>
      <c r="H39" s="55"/>
      <c r="I39" s="54"/>
      <c r="J39" s="54"/>
      <c r="K39" s="54"/>
      <c r="L39" s="55"/>
    </row>
    <row r="40" spans="1:12" x14ac:dyDescent="0.3">
      <c r="A40" s="124"/>
      <c r="B40" s="124"/>
      <c r="C40" s="50" t="s">
        <v>270</v>
      </c>
      <c r="D40" s="73">
        <v>1</v>
      </c>
      <c r="E40" s="52">
        <v>287</v>
      </c>
      <c r="F40" s="52" t="s">
        <v>268</v>
      </c>
      <c r="G40" s="54" t="s">
        <v>271</v>
      </c>
      <c r="H40" s="55"/>
      <c r="I40" s="54"/>
      <c r="J40" s="54"/>
      <c r="K40" s="54"/>
      <c r="L40" s="55"/>
    </row>
    <row r="41" spans="1:12" x14ac:dyDescent="0.3">
      <c r="A41" s="124"/>
      <c r="B41" s="124"/>
      <c r="C41" s="50" t="s">
        <v>272</v>
      </c>
      <c r="D41" s="73">
        <v>1</v>
      </c>
      <c r="E41" s="52">
        <v>287</v>
      </c>
      <c r="F41" s="52" t="s">
        <v>268</v>
      </c>
      <c r="G41" s="54" t="s">
        <v>273</v>
      </c>
      <c r="H41" s="55"/>
      <c r="I41" s="54"/>
      <c r="J41" s="54"/>
      <c r="K41" s="54"/>
      <c r="L41" s="55"/>
    </row>
    <row r="42" spans="1:12" x14ac:dyDescent="0.3">
      <c r="A42" s="124"/>
      <c r="B42" s="124"/>
      <c r="C42" s="50" t="s">
        <v>274</v>
      </c>
      <c r="D42" s="73">
        <v>1</v>
      </c>
      <c r="E42" s="52">
        <v>523</v>
      </c>
      <c r="F42" s="52" t="s">
        <v>268</v>
      </c>
      <c r="G42" s="54" t="s">
        <v>275</v>
      </c>
      <c r="H42" s="55"/>
      <c r="I42" s="54"/>
      <c r="J42" s="54"/>
      <c r="K42" s="54"/>
      <c r="L42" s="55"/>
    </row>
    <row r="43" spans="1:12" x14ac:dyDescent="0.3">
      <c r="A43" s="124"/>
      <c r="B43" s="124"/>
      <c r="C43" s="50" t="s">
        <v>276</v>
      </c>
      <c r="D43" s="77">
        <v>2</v>
      </c>
      <c r="E43" s="52">
        <v>256</v>
      </c>
      <c r="F43" s="52" t="s">
        <v>268</v>
      </c>
      <c r="G43" s="54" t="s">
        <v>277</v>
      </c>
      <c r="H43" s="55"/>
      <c r="I43" s="54"/>
      <c r="J43" s="54"/>
      <c r="K43" s="54"/>
      <c r="L43" s="55"/>
    </row>
    <row r="44" spans="1:12" x14ac:dyDescent="0.3">
      <c r="A44" s="125"/>
      <c r="B44" s="125"/>
      <c r="C44" s="70" t="s">
        <v>278</v>
      </c>
      <c r="D44" s="78">
        <v>2</v>
      </c>
      <c r="E44" s="68">
        <v>310</v>
      </c>
      <c r="F44" s="68" t="s">
        <v>268</v>
      </c>
      <c r="G44" s="67" t="s">
        <v>279</v>
      </c>
      <c r="H44" s="66"/>
      <c r="I44" s="67"/>
      <c r="J44" s="67"/>
      <c r="K44" s="67"/>
      <c r="L44" s="66"/>
    </row>
    <row r="45" spans="1:12" x14ac:dyDescent="0.3">
      <c r="A45" s="123" t="s">
        <v>280</v>
      </c>
      <c r="B45" s="126" t="s">
        <v>281</v>
      </c>
      <c r="C45" s="50" t="s">
        <v>282</v>
      </c>
      <c r="D45" s="73">
        <v>1</v>
      </c>
      <c r="E45" s="52">
        <v>613</v>
      </c>
      <c r="F45" s="52" t="s">
        <v>283</v>
      </c>
      <c r="G45" s="54" t="s">
        <v>284</v>
      </c>
      <c r="H45" s="55"/>
      <c r="I45" s="54"/>
      <c r="J45" s="54"/>
      <c r="K45" s="54"/>
      <c r="L45" s="55"/>
    </row>
    <row r="46" spans="1:12" x14ac:dyDescent="0.3">
      <c r="A46" s="124"/>
      <c r="B46" s="124"/>
      <c r="C46" s="50" t="s">
        <v>285</v>
      </c>
      <c r="D46" s="77">
        <v>2</v>
      </c>
      <c r="E46" s="52">
        <v>320</v>
      </c>
      <c r="F46" s="52" t="s">
        <v>283</v>
      </c>
      <c r="G46" s="54" t="s">
        <v>286</v>
      </c>
      <c r="H46" s="55"/>
      <c r="I46" s="54"/>
      <c r="J46" s="54"/>
      <c r="K46" s="54"/>
      <c r="L46" s="55"/>
    </row>
    <row r="47" spans="1:12" x14ac:dyDescent="0.3">
      <c r="A47" s="124"/>
      <c r="B47" s="124"/>
      <c r="C47" s="50" t="s">
        <v>287</v>
      </c>
      <c r="D47" s="77">
        <v>2</v>
      </c>
      <c r="E47" s="52">
        <v>326</v>
      </c>
      <c r="F47" s="52" t="s">
        <v>283</v>
      </c>
      <c r="G47" s="54" t="s">
        <v>288</v>
      </c>
      <c r="H47" s="55"/>
      <c r="I47" s="54"/>
      <c r="J47" s="54"/>
      <c r="K47" s="54"/>
      <c r="L47" s="55"/>
    </row>
    <row r="48" spans="1:12" x14ac:dyDescent="0.3">
      <c r="A48" s="124"/>
      <c r="B48" s="124"/>
      <c r="C48" s="50" t="s">
        <v>289</v>
      </c>
      <c r="D48" s="77">
        <v>2</v>
      </c>
      <c r="E48" s="52">
        <v>287</v>
      </c>
      <c r="F48" s="52" t="s">
        <v>283</v>
      </c>
      <c r="G48" s="54" t="s">
        <v>290</v>
      </c>
      <c r="H48" s="55"/>
      <c r="I48" s="54"/>
      <c r="J48" s="54"/>
      <c r="K48" s="54"/>
      <c r="L48" s="55"/>
    </row>
    <row r="49" spans="1:12" x14ac:dyDescent="0.3">
      <c r="A49" s="124"/>
      <c r="B49" s="124"/>
      <c r="C49" s="50" t="s">
        <v>291</v>
      </c>
      <c r="D49" s="77">
        <v>2</v>
      </c>
      <c r="E49" s="52">
        <v>287</v>
      </c>
      <c r="F49" s="52" t="s">
        <v>292</v>
      </c>
      <c r="G49" s="54" t="s">
        <v>293</v>
      </c>
      <c r="H49" s="55"/>
      <c r="I49" s="54"/>
      <c r="J49" s="54"/>
      <c r="K49" s="54"/>
      <c r="L49" s="55"/>
    </row>
    <row r="50" spans="1:12" x14ac:dyDescent="0.3">
      <c r="A50" s="124"/>
      <c r="B50" s="124"/>
      <c r="C50" s="50" t="s">
        <v>294</v>
      </c>
      <c r="D50" s="77">
        <v>2</v>
      </c>
      <c r="E50" s="52">
        <v>613</v>
      </c>
      <c r="F50" s="52" t="s">
        <v>295</v>
      </c>
      <c r="G50" s="54" t="s">
        <v>296</v>
      </c>
      <c r="H50" s="55"/>
      <c r="I50" s="54"/>
      <c r="J50" s="54"/>
      <c r="K50" s="54"/>
      <c r="L50" s="55"/>
    </row>
    <row r="51" spans="1:12" x14ac:dyDescent="0.3">
      <c r="A51" s="125"/>
      <c r="B51" s="125"/>
      <c r="C51" s="70" t="s">
        <v>297</v>
      </c>
      <c r="D51" s="76">
        <v>3</v>
      </c>
      <c r="E51" s="68">
        <v>308</v>
      </c>
      <c r="F51" s="68" t="s">
        <v>298</v>
      </c>
      <c r="G51" s="67" t="s">
        <v>299</v>
      </c>
      <c r="H51" s="66"/>
      <c r="I51" s="67"/>
      <c r="J51" s="67"/>
      <c r="K51" s="67"/>
      <c r="L51" s="66"/>
    </row>
    <row r="52" spans="1:12" x14ac:dyDescent="0.3">
      <c r="A52" s="123" t="s">
        <v>300</v>
      </c>
      <c r="B52" s="123" t="s">
        <v>301</v>
      </c>
      <c r="C52" s="50" t="s">
        <v>302</v>
      </c>
      <c r="D52" s="77">
        <v>2</v>
      </c>
      <c r="E52" s="52">
        <v>320</v>
      </c>
      <c r="F52" s="52" t="s">
        <v>303</v>
      </c>
      <c r="G52" s="54" t="s">
        <v>304</v>
      </c>
      <c r="H52" s="55"/>
      <c r="I52" s="54"/>
      <c r="J52" s="54"/>
      <c r="K52" s="54"/>
      <c r="L52" s="55"/>
    </row>
    <row r="53" spans="1:12" x14ac:dyDescent="0.3">
      <c r="A53" s="124"/>
      <c r="B53" s="124"/>
      <c r="C53" s="50" t="s">
        <v>305</v>
      </c>
      <c r="D53" s="77">
        <v>2</v>
      </c>
      <c r="E53" s="52">
        <v>330</v>
      </c>
      <c r="F53" s="52" t="s">
        <v>303</v>
      </c>
      <c r="G53" s="54" t="s">
        <v>306</v>
      </c>
      <c r="H53" s="55"/>
      <c r="I53" s="54"/>
      <c r="J53" s="54"/>
      <c r="K53" s="54"/>
      <c r="L53" s="55"/>
    </row>
    <row r="54" spans="1:12" x14ac:dyDescent="0.3">
      <c r="A54" s="125"/>
      <c r="B54" s="125"/>
      <c r="C54" s="70" t="s">
        <v>307</v>
      </c>
      <c r="D54" s="78">
        <v>2</v>
      </c>
      <c r="E54" s="68">
        <v>327</v>
      </c>
      <c r="F54" s="68" t="s">
        <v>303</v>
      </c>
      <c r="G54" s="67" t="s">
        <v>308</v>
      </c>
      <c r="H54" s="66"/>
      <c r="I54" s="67"/>
      <c r="J54" s="67"/>
      <c r="K54" s="67"/>
      <c r="L54" s="66"/>
    </row>
    <row r="55" spans="1:12" x14ac:dyDescent="0.3">
      <c r="A55" s="123" t="s">
        <v>309</v>
      </c>
      <c r="B55" s="123" t="s">
        <v>310</v>
      </c>
      <c r="C55" s="50" t="s">
        <v>311</v>
      </c>
      <c r="D55" s="80" t="s">
        <v>312</v>
      </c>
      <c r="E55" s="52">
        <v>287</v>
      </c>
      <c r="F55" s="52" t="s">
        <v>313</v>
      </c>
      <c r="G55" s="54" t="s">
        <v>314</v>
      </c>
      <c r="H55" s="55"/>
      <c r="I55" s="54"/>
      <c r="J55" s="54"/>
      <c r="K55" s="54"/>
      <c r="L55" s="55"/>
    </row>
    <row r="56" spans="1:12" x14ac:dyDescent="0.3">
      <c r="A56" s="124"/>
      <c r="B56" s="124"/>
      <c r="C56" s="50" t="s">
        <v>315</v>
      </c>
      <c r="D56" s="80" t="s">
        <v>312</v>
      </c>
      <c r="E56" s="52">
        <v>255</v>
      </c>
      <c r="F56" s="52" t="s">
        <v>313</v>
      </c>
      <c r="G56" s="54" t="s">
        <v>316</v>
      </c>
      <c r="H56" s="55"/>
      <c r="I56" s="54"/>
      <c r="J56" s="54"/>
      <c r="K56" s="54"/>
      <c r="L56" s="55"/>
    </row>
    <row r="57" spans="1:12" x14ac:dyDescent="0.3">
      <c r="A57" s="124"/>
      <c r="B57" s="124"/>
      <c r="C57" s="50" t="s">
        <v>317</v>
      </c>
      <c r="D57" s="80" t="s">
        <v>312</v>
      </c>
      <c r="E57" s="52">
        <v>522</v>
      </c>
      <c r="F57" s="52" t="s">
        <v>313</v>
      </c>
      <c r="G57" s="54" t="s">
        <v>318</v>
      </c>
      <c r="H57" s="55"/>
      <c r="I57" s="54"/>
      <c r="J57" s="54"/>
      <c r="K57" s="54"/>
      <c r="L57" s="55"/>
    </row>
    <row r="58" spans="1:12" x14ac:dyDescent="0.3">
      <c r="A58" s="125"/>
      <c r="B58" s="125"/>
      <c r="C58" s="70" t="s">
        <v>319</v>
      </c>
      <c r="D58" s="81" t="s">
        <v>312</v>
      </c>
      <c r="E58" s="68">
        <v>798</v>
      </c>
      <c r="F58" s="68"/>
      <c r="G58" s="67" t="s">
        <v>320</v>
      </c>
      <c r="H58" s="66"/>
      <c r="I58" s="67"/>
      <c r="J58" s="67"/>
      <c r="K58" s="67"/>
      <c r="L58" s="66"/>
    </row>
  </sheetData>
  <autoFilter ref="C1:L58" xr:uid="{00000000-0009-0000-0000-000004000000}"/>
  <mergeCells count="20">
    <mergeCell ref="A55:A58"/>
    <mergeCell ref="B55:B58"/>
    <mergeCell ref="A24:A28"/>
    <mergeCell ref="A29:A35"/>
    <mergeCell ref="B29:B35"/>
    <mergeCell ref="A36:A38"/>
    <mergeCell ref="B36:B38"/>
    <mergeCell ref="A39:A44"/>
    <mergeCell ref="B39:B44"/>
    <mergeCell ref="B24:B28"/>
    <mergeCell ref="A45:A51"/>
    <mergeCell ref="B45:B51"/>
    <mergeCell ref="A52:A54"/>
    <mergeCell ref="B52:B54"/>
    <mergeCell ref="A2:A13"/>
    <mergeCell ref="B2:B13"/>
    <mergeCell ref="A14:A20"/>
    <mergeCell ref="B14:B20"/>
    <mergeCell ref="A21:A23"/>
    <mergeCell ref="B21:B23"/>
  </mergeCells>
  <conditionalFormatting sqref="C2:C58 E2:G58 I2:K58">
    <cfRule type="expression" dxfId="170" priority="1">
      <formula>$L2="NX-FRAME"</formula>
    </cfRule>
    <cfRule type="expression" dxfId="169" priority="2">
      <formula>$L2="ENVIRONMENT"</formula>
    </cfRule>
    <cfRule type="expression" dxfId="168" priority="3">
      <formula>$L2="OUT OF SCOPE"</formula>
    </cfRule>
    <cfRule type="expression" dxfId="167" priority="4">
      <formula>$L2="APPLICATION"</formula>
    </cfRule>
  </conditionalFormatting>
  <conditionalFormatting sqref="C2:C58 E2:G58">
    <cfRule type="expression" dxfId="166" priority="5">
      <formula>$H2="Not Applicable"</formula>
    </cfRule>
  </conditionalFormatting>
  <conditionalFormatting sqref="H2:H58">
    <cfRule type="expression" dxfId="165" priority="6">
      <formula>_xludf.AND($H2&lt;&gt;"Not Applicable",$H2&lt;&gt;"Not-valid",$H2&lt;&gt;"Valid")</formula>
    </cfRule>
    <cfRule type="expression" dxfId="164" priority="7">
      <formula>$H2="Valid"</formula>
    </cfRule>
    <cfRule type="expression" dxfId="163" priority="8">
      <formula>$H2="Invalid"</formula>
    </cfRule>
    <cfRule type="expression" dxfId="162" priority="9">
      <formula>$H2="Not Applicable"</formula>
    </cfRule>
  </conditionalFormatting>
  <conditionalFormatting sqref="L2:L58">
    <cfRule type="expression" dxfId="161" priority="10">
      <formula>$L2="APPLICATION"</formula>
    </cfRule>
    <cfRule type="expression" dxfId="160" priority="11">
      <formula>$L2="ENVIRONMENT"</formula>
    </cfRule>
    <cfRule type="expression" dxfId="159" priority="12">
      <formula>$L2="NX-FRAME"</formula>
    </cfRule>
    <cfRule type="expression" dxfId="158" priority="13">
      <formula>$L2="OUT OF SCOPE"</formula>
    </cfRule>
  </conditionalFormatting>
  <dataValidations count="2">
    <dataValidation type="list" allowBlank="1" showErrorMessage="1" sqref="L2:L58" xr:uid="{00000000-0002-0000-0400-000000000000}">
      <formula1>"NX-FRAME,APPLICATION,ENVIRONMENT,OUT OF SCOPE"</formula1>
    </dataValidation>
    <dataValidation type="list" allowBlank="1" showErrorMessage="1" sqref="H2:H58" xr:uid="{00000000-0002-0000-0400-000001000000}">
      <formula1>"Valid,Invalid,Not Applicable"</formula1>
    </dataValidation>
  </dataValidations>
  <pageMargins left="0.78749999999999998" right="0.78749999999999998" top="1.0249999999999999" bottom="1.0249999999999999" header="0" footer="0"/>
  <pageSetup paperSize="9" orientation="portrait"/>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5.44140625" customWidth="1"/>
    <col min="2" max="2" width="26.109375" customWidth="1"/>
    <col min="3" max="3" width="7" customWidth="1"/>
    <col min="4" max="4" width="13.5546875" customWidth="1"/>
    <col min="5" max="5" width="8.109375" customWidth="1"/>
    <col min="6" max="6" width="8" customWidth="1"/>
    <col min="7" max="7" width="63.44140625" customWidth="1"/>
    <col min="8" max="8" width="8.44140625" customWidth="1"/>
    <col min="9" max="9" width="24.44140625" customWidth="1"/>
    <col min="10" max="11" width="12.6640625" customWidth="1"/>
    <col min="12" max="12" width="18.44140625" customWidth="1"/>
  </cols>
  <sheetData>
    <row r="1" spans="1:12" x14ac:dyDescent="0.3">
      <c r="A1" s="82" t="s">
        <v>49</v>
      </c>
      <c r="B1" s="49" t="s">
        <v>50</v>
      </c>
      <c r="C1" s="48" t="s">
        <v>49</v>
      </c>
      <c r="D1" s="49" t="s">
        <v>51</v>
      </c>
      <c r="E1" s="49" t="s">
        <v>52</v>
      </c>
      <c r="F1" s="49" t="s">
        <v>53</v>
      </c>
      <c r="G1" s="48" t="s">
        <v>54</v>
      </c>
      <c r="H1" s="48" t="s">
        <v>22</v>
      </c>
      <c r="I1" s="48" t="s">
        <v>55</v>
      </c>
      <c r="J1" s="48" t="s">
        <v>56</v>
      </c>
      <c r="K1" s="49" t="s">
        <v>57</v>
      </c>
      <c r="L1" s="48" t="s">
        <v>58</v>
      </c>
    </row>
    <row r="2" spans="1:12" x14ac:dyDescent="0.3">
      <c r="A2" s="83" t="s">
        <v>321</v>
      </c>
      <c r="B2" s="83" t="s">
        <v>322</v>
      </c>
      <c r="C2" s="70" t="s">
        <v>323</v>
      </c>
      <c r="D2" s="74">
        <v>1</v>
      </c>
      <c r="E2" s="68">
        <v>598</v>
      </c>
      <c r="F2" s="68"/>
      <c r="G2" s="67" t="s">
        <v>324</v>
      </c>
      <c r="H2" s="66"/>
      <c r="I2" s="84"/>
      <c r="J2" s="67"/>
      <c r="K2" s="67"/>
      <c r="L2" s="66"/>
    </row>
    <row r="3" spans="1:12" x14ac:dyDescent="0.3">
      <c r="A3" s="123" t="s">
        <v>325</v>
      </c>
      <c r="B3" s="123" t="s">
        <v>326</v>
      </c>
      <c r="C3" s="50" t="s">
        <v>327</v>
      </c>
      <c r="D3" s="73">
        <v>1</v>
      </c>
      <c r="E3" s="52">
        <v>384</v>
      </c>
      <c r="F3" s="52" t="s">
        <v>328</v>
      </c>
      <c r="G3" s="54" t="s">
        <v>329</v>
      </c>
      <c r="H3" s="55"/>
      <c r="I3" s="85"/>
      <c r="J3" s="53"/>
      <c r="K3" s="86"/>
      <c r="L3" s="55"/>
    </row>
    <row r="4" spans="1:12" x14ac:dyDescent="0.3">
      <c r="A4" s="124"/>
      <c r="B4" s="124"/>
      <c r="C4" s="50" t="s">
        <v>330</v>
      </c>
      <c r="D4" s="73">
        <v>1</v>
      </c>
      <c r="E4" s="52">
        <v>331</v>
      </c>
      <c r="F4" s="52" t="s">
        <v>328</v>
      </c>
      <c r="G4" s="54" t="s">
        <v>331</v>
      </c>
      <c r="H4" s="55"/>
      <c r="I4" s="54"/>
      <c r="J4" s="54"/>
      <c r="K4" s="87"/>
      <c r="L4" s="55"/>
    </row>
    <row r="5" spans="1:12" x14ac:dyDescent="0.3">
      <c r="A5" s="124"/>
      <c r="B5" s="124"/>
      <c r="C5" s="50" t="s">
        <v>332</v>
      </c>
      <c r="D5" s="73">
        <v>1</v>
      </c>
      <c r="E5" s="52">
        <v>539</v>
      </c>
      <c r="F5" s="52" t="s">
        <v>328</v>
      </c>
      <c r="G5" s="54" t="s">
        <v>333</v>
      </c>
      <c r="H5" s="55"/>
      <c r="I5" s="88"/>
      <c r="J5" s="54"/>
      <c r="K5" s="54"/>
      <c r="L5" s="55"/>
    </row>
    <row r="6" spans="1:12" x14ac:dyDescent="0.3">
      <c r="A6" s="125"/>
      <c r="B6" s="125"/>
      <c r="C6" s="70" t="s">
        <v>334</v>
      </c>
      <c r="D6" s="78">
        <v>2</v>
      </c>
      <c r="E6" s="68">
        <v>331</v>
      </c>
      <c r="F6" s="68" t="s">
        <v>328</v>
      </c>
      <c r="G6" s="67" t="s">
        <v>335</v>
      </c>
      <c r="H6" s="89"/>
      <c r="I6" s="65"/>
      <c r="J6" s="90"/>
      <c r="K6" s="67"/>
      <c r="L6" s="66"/>
    </row>
    <row r="7" spans="1:12" x14ac:dyDescent="0.3">
      <c r="A7" s="123" t="s">
        <v>336</v>
      </c>
      <c r="B7" s="123" t="s">
        <v>337</v>
      </c>
      <c r="C7" s="50" t="s">
        <v>338</v>
      </c>
      <c r="D7" s="73">
        <v>1</v>
      </c>
      <c r="E7" s="52">
        <v>613</v>
      </c>
      <c r="F7" s="52" t="s">
        <v>328</v>
      </c>
      <c r="G7" s="54" t="s">
        <v>339</v>
      </c>
      <c r="H7" s="55"/>
      <c r="I7" s="54"/>
      <c r="J7" s="54"/>
      <c r="K7" s="54"/>
      <c r="L7" s="55"/>
    </row>
    <row r="8" spans="1:12" x14ac:dyDescent="0.3">
      <c r="A8" s="124"/>
      <c r="B8" s="124"/>
      <c r="C8" s="50" t="s">
        <v>340</v>
      </c>
      <c r="D8" s="73">
        <v>1</v>
      </c>
      <c r="E8" s="52">
        <v>613</v>
      </c>
      <c r="F8" s="52" t="s">
        <v>341</v>
      </c>
      <c r="G8" s="54" t="s">
        <v>342</v>
      </c>
      <c r="H8" s="55"/>
      <c r="I8" s="54"/>
      <c r="J8" s="54"/>
      <c r="K8" s="54"/>
      <c r="L8" s="55"/>
    </row>
    <row r="9" spans="1:12" x14ac:dyDescent="0.3">
      <c r="A9" s="124"/>
      <c r="B9" s="124"/>
      <c r="C9" s="50" t="s">
        <v>343</v>
      </c>
      <c r="D9" s="77">
        <v>2</v>
      </c>
      <c r="E9" s="52">
        <v>613</v>
      </c>
      <c r="F9" s="52"/>
      <c r="G9" s="54" t="s">
        <v>344</v>
      </c>
      <c r="H9" s="55"/>
      <c r="I9" s="54"/>
      <c r="J9" s="54"/>
      <c r="K9" s="54"/>
      <c r="L9" s="55"/>
    </row>
    <row r="10" spans="1:12" x14ac:dyDescent="0.3">
      <c r="A10" s="125"/>
      <c r="B10" s="125"/>
      <c r="C10" s="70" t="s">
        <v>345</v>
      </c>
      <c r="D10" s="78">
        <v>2</v>
      </c>
      <c r="E10" s="68">
        <v>613</v>
      </c>
      <c r="F10" s="68" t="s">
        <v>328</v>
      </c>
      <c r="G10" s="67" t="s">
        <v>346</v>
      </c>
      <c r="H10" s="66"/>
      <c r="I10" s="67"/>
      <c r="J10" s="67"/>
      <c r="K10" s="67"/>
      <c r="L10" s="66"/>
    </row>
    <row r="11" spans="1:12" x14ac:dyDescent="0.3">
      <c r="A11" s="123" t="s">
        <v>347</v>
      </c>
      <c r="B11" s="126" t="s">
        <v>348</v>
      </c>
      <c r="C11" s="50" t="s">
        <v>349</v>
      </c>
      <c r="D11" s="73">
        <v>1</v>
      </c>
      <c r="E11" s="52">
        <v>614</v>
      </c>
      <c r="F11" s="52" t="s">
        <v>350</v>
      </c>
      <c r="G11" s="54" t="s">
        <v>351</v>
      </c>
      <c r="H11" s="55"/>
      <c r="I11" s="54"/>
      <c r="J11" s="54"/>
      <c r="K11" s="54"/>
      <c r="L11" s="55"/>
    </row>
    <row r="12" spans="1:12" x14ac:dyDescent="0.3">
      <c r="A12" s="124"/>
      <c r="B12" s="124"/>
      <c r="C12" s="50" t="s">
        <v>352</v>
      </c>
      <c r="D12" s="73">
        <v>1</v>
      </c>
      <c r="E12" s="52">
        <v>1004</v>
      </c>
      <c r="F12" s="52" t="s">
        <v>350</v>
      </c>
      <c r="G12" s="54" t="s">
        <v>353</v>
      </c>
      <c r="H12" s="55"/>
      <c r="I12" s="54"/>
      <c r="J12" s="54"/>
      <c r="K12" s="54"/>
      <c r="L12" s="55"/>
    </row>
    <row r="13" spans="1:12" x14ac:dyDescent="0.3">
      <c r="A13" s="124"/>
      <c r="B13" s="124"/>
      <c r="C13" s="50" t="s">
        <v>354</v>
      </c>
      <c r="D13" s="73">
        <v>1</v>
      </c>
      <c r="E13" s="52">
        <v>16</v>
      </c>
      <c r="F13" s="52" t="s">
        <v>350</v>
      </c>
      <c r="G13" s="54" t="s">
        <v>355</v>
      </c>
      <c r="H13" s="55"/>
      <c r="I13" s="54"/>
      <c r="J13" s="54"/>
      <c r="K13" s="54"/>
      <c r="L13" s="55"/>
    </row>
    <row r="14" spans="1:12" x14ac:dyDescent="0.3">
      <c r="A14" s="124"/>
      <c r="B14" s="124"/>
      <c r="C14" s="50" t="s">
        <v>356</v>
      </c>
      <c r="D14" s="73">
        <v>1</v>
      </c>
      <c r="E14" s="52">
        <v>16</v>
      </c>
      <c r="F14" s="52" t="s">
        <v>350</v>
      </c>
      <c r="G14" s="54" t="s">
        <v>357</v>
      </c>
      <c r="H14" s="55"/>
      <c r="I14" s="54"/>
      <c r="J14" s="54"/>
      <c r="K14" s="54"/>
      <c r="L14" s="55"/>
    </row>
    <row r="15" spans="1:12" x14ac:dyDescent="0.3">
      <c r="A15" s="125"/>
      <c r="B15" s="125"/>
      <c r="C15" s="70" t="s">
        <v>358</v>
      </c>
      <c r="D15" s="74">
        <v>1</v>
      </c>
      <c r="E15" s="68">
        <v>16</v>
      </c>
      <c r="F15" s="68" t="s">
        <v>350</v>
      </c>
      <c r="G15" s="67" t="s">
        <v>359</v>
      </c>
      <c r="H15" s="66"/>
      <c r="I15" s="67"/>
      <c r="J15" s="67"/>
      <c r="K15" s="67"/>
      <c r="L15" s="66"/>
    </row>
    <row r="16" spans="1:12" x14ac:dyDescent="0.3">
      <c r="A16" s="123" t="s">
        <v>360</v>
      </c>
      <c r="B16" s="123" t="s">
        <v>361</v>
      </c>
      <c r="C16" s="50" t="s">
        <v>362</v>
      </c>
      <c r="D16" s="77">
        <v>2</v>
      </c>
      <c r="E16" s="52">
        <v>290</v>
      </c>
      <c r="F16" s="52" t="s">
        <v>363</v>
      </c>
      <c r="G16" s="54" t="s">
        <v>364</v>
      </c>
      <c r="H16" s="55"/>
      <c r="I16" s="54"/>
      <c r="J16" s="54"/>
      <c r="K16" s="54"/>
      <c r="L16" s="55"/>
    </row>
    <row r="17" spans="1:12" x14ac:dyDescent="0.3">
      <c r="A17" s="124"/>
      <c r="B17" s="124"/>
      <c r="C17" s="50" t="s">
        <v>365</v>
      </c>
      <c r="D17" s="77">
        <v>2</v>
      </c>
      <c r="E17" s="52">
        <v>798</v>
      </c>
      <c r="F17" s="52"/>
      <c r="G17" s="54" t="s">
        <v>366</v>
      </c>
      <c r="H17" s="55"/>
      <c r="I17" s="54"/>
      <c r="J17" s="54"/>
      <c r="K17" s="54"/>
      <c r="L17" s="55"/>
    </row>
    <row r="18" spans="1:12" x14ac:dyDescent="0.3">
      <c r="A18" s="125"/>
      <c r="B18" s="125"/>
      <c r="C18" s="70" t="s">
        <v>367</v>
      </c>
      <c r="D18" s="78">
        <v>2</v>
      </c>
      <c r="E18" s="68">
        <v>345</v>
      </c>
      <c r="F18" s="68"/>
      <c r="G18" s="67" t="s">
        <v>368</v>
      </c>
      <c r="H18" s="66"/>
      <c r="I18" s="67"/>
      <c r="J18" s="67"/>
      <c r="K18" s="67"/>
      <c r="L18" s="66"/>
    </row>
    <row r="19" spans="1:12" x14ac:dyDescent="0.3">
      <c r="A19" s="123" t="s">
        <v>369</v>
      </c>
      <c r="B19" s="123" t="s">
        <v>370</v>
      </c>
      <c r="C19" s="50" t="s">
        <v>371</v>
      </c>
      <c r="D19" s="91">
        <v>3</v>
      </c>
      <c r="E19" s="52">
        <v>613</v>
      </c>
      <c r="F19" s="52" t="s">
        <v>372</v>
      </c>
      <c r="G19" s="54" t="s">
        <v>373</v>
      </c>
      <c r="H19" s="55"/>
      <c r="I19" s="54"/>
      <c r="J19" s="54"/>
      <c r="K19" s="54"/>
      <c r="L19" s="55"/>
    </row>
    <row r="20" spans="1:12" x14ac:dyDescent="0.3">
      <c r="A20" s="125"/>
      <c r="B20" s="125"/>
      <c r="C20" s="70" t="s">
        <v>374</v>
      </c>
      <c r="D20" s="92">
        <v>3</v>
      </c>
      <c r="E20" s="68">
        <v>613</v>
      </c>
      <c r="F20" s="68" t="s">
        <v>372</v>
      </c>
      <c r="G20" s="67" t="s">
        <v>375</v>
      </c>
      <c r="H20" s="66"/>
      <c r="I20" s="67"/>
      <c r="J20" s="67"/>
      <c r="K20" s="67"/>
      <c r="L20" s="66"/>
    </row>
    <row r="21" spans="1:12" x14ac:dyDescent="0.3">
      <c r="A21" s="69" t="s">
        <v>376</v>
      </c>
      <c r="B21" s="93" t="s">
        <v>377</v>
      </c>
      <c r="C21" s="70" t="s">
        <v>378</v>
      </c>
      <c r="D21" s="74">
        <v>1</v>
      </c>
      <c r="E21" s="68">
        <v>306</v>
      </c>
      <c r="F21" s="68"/>
      <c r="G21" s="67" t="s">
        <v>379</v>
      </c>
      <c r="H21" s="66"/>
      <c r="I21" s="67"/>
      <c r="J21" s="94"/>
      <c r="K21" s="67"/>
      <c r="L21" s="66"/>
    </row>
  </sheetData>
  <autoFilter ref="C1:L21" xr:uid="{00000000-0009-0000-0000-000005000000}"/>
  <mergeCells count="10">
    <mergeCell ref="A16:A18"/>
    <mergeCell ref="A19:A20"/>
    <mergeCell ref="A3:A6"/>
    <mergeCell ref="B3:B6"/>
    <mergeCell ref="A7:A10"/>
    <mergeCell ref="B7:B10"/>
    <mergeCell ref="A11:A15"/>
    <mergeCell ref="B11:B15"/>
    <mergeCell ref="B16:B18"/>
    <mergeCell ref="B19:B20"/>
  </mergeCells>
  <conditionalFormatting sqref="C2:C21 E2:G21 I2:K21">
    <cfRule type="expression" dxfId="157" priority="1">
      <formula>$L2="OUT OF SCOPE"</formula>
    </cfRule>
    <cfRule type="expression" dxfId="156" priority="2">
      <formula>$L2="NX-FRAME"</formula>
    </cfRule>
    <cfRule type="expression" dxfId="155" priority="3">
      <formula>$L2="APPLICATION"</formula>
    </cfRule>
    <cfRule type="expression" dxfId="154" priority="4">
      <formula>$L2="ENVIRONMENT"</formula>
    </cfRule>
  </conditionalFormatting>
  <conditionalFormatting sqref="C2:C21 E2:G21">
    <cfRule type="expression" dxfId="153" priority="5">
      <formula>$H2="Not Applicable"</formula>
    </cfRule>
  </conditionalFormatting>
  <conditionalFormatting sqref="H2:H21">
    <cfRule type="expression" dxfId="152" priority="6">
      <formula>_xludf.AND($H2&lt;&gt;"Not Applicable",$H2&lt;&gt;"Not-valid",$H2&lt;&gt;"Valid")</formula>
    </cfRule>
    <cfRule type="expression" dxfId="151" priority="7">
      <formula>$H2="Valid"</formula>
    </cfRule>
    <cfRule type="expression" dxfId="150" priority="8">
      <formula>$H2="Invalid"</formula>
    </cfRule>
    <cfRule type="expression" dxfId="149" priority="9">
      <formula>$H2="Not Applicable"</formula>
    </cfRule>
  </conditionalFormatting>
  <conditionalFormatting sqref="L2:L21">
    <cfRule type="expression" dxfId="148" priority="10">
      <formula>$L2="APPLICATION"</formula>
    </cfRule>
    <cfRule type="expression" dxfId="147" priority="11">
      <formula>$L2="ENVIRONMENT"</formula>
    </cfRule>
    <cfRule type="expression" dxfId="146" priority="12">
      <formula>$L2="NX-FRAME"</formula>
    </cfRule>
    <cfRule type="expression" dxfId="145" priority="13">
      <formula>$L2="OUT OF SCOPE"</formula>
    </cfRule>
  </conditionalFormatting>
  <dataValidations count="2">
    <dataValidation type="list" allowBlank="1" showErrorMessage="1" sqref="L2:L21" xr:uid="{00000000-0002-0000-0500-000000000000}">
      <formula1>"NX-FRAME,APPLICATION,ENVIRONMENT,OUT OF SCOPE"</formula1>
    </dataValidation>
    <dataValidation type="list" allowBlank="1" showErrorMessage="1" sqref="H2:H21" xr:uid="{00000000-0002-0000-05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5.44140625" customWidth="1"/>
    <col min="2" max="2" width="22" customWidth="1"/>
    <col min="3" max="3" width="7" customWidth="1"/>
    <col min="4" max="4" width="13.5546875" customWidth="1"/>
    <col min="5" max="5" width="8.109375" customWidth="1"/>
    <col min="6" max="6" width="10.44140625" customWidth="1"/>
    <col min="7" max="7" width="68.6640625" customWidth="1"/>
    <col min="8" max="8" width="8.44140625" customWidth="1"/>
    <col min="9" max="9" width="24.44140625" customWidth="1"/>
    <col min="10" max="11" width="12.6640625" customWidth="1"/>
    <col min="12" max="12" width="18.441406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380</v>
      </c>
      <c r="B2" s="128" t="s">
        <v>381</v>
      </c>
      <c r="C2" s="50" t="s">
        <v>382</v>
      </c>
      <c r="D2" s="73">
        <v>1</v>
      </c>
      <c r="E2" s="50">
        <v>602</v>
      </c>
      <c r="F2" s="50"/>
      <c r="G2" s="54" t="s">
        <v>383</v>
      </c>
      <c r="H2" s="55"/>
      <c r="I2" s="54"/>
      <c r="J2" s="54"/>
      <c r="K2" s="54"/>
      <c r="L2" s="55"/>
    </row>
    <row r="3" spans="1:12" x14ac:dyDescent="0.3">
      <c r="A3" s="124"/>
      <c r="B3" s="124"/>
      <c r="C3" s="50" t="s">
        <v>384</v>
      </c>
      <c r="D3" s="73">
        <v>1</v>
      </c>
      <c r="E3" s="50">
        <v>639</v>
      </c>
      <c r="F3" s="50"/>
      <c r="G3" s="54" t="s">
        <v>385</v>
      </c>
      <c r="H3" s="55"/>
      <c r="I3" s="54"/>
      <c r="J3" s="54"/>
      <c r="K3" s="54"/>
      <c r="L3" s="55"/>
    </row>
    <row r="4" spans="1:12" x14ac:dyDescent="0.3">
      <c r="A4" s="124"/>
      <c r="B4" s="124"/>
      <c r="C4" s="50" t="s">
        <v>386</v>
      </c>
      <c r="D4" s="73">
        <v>1</v>
      </c>
      <c r="E4" s="50">
        <v>285</v>
      </c>
      <c r="F4" s="50"/>
      <c r="G4" s="54" t="s">
        <v>387</v>
      </c>
      <c r="H4" s="55"/>
      <c r="I4" s="54"/>
      <c r="J4" s="54"/>
      <c r="K4" s="54"/>
      <c r="L4" s="55"/>
    </row>
    <row r="5" spans="1:12" x14ac:dyDescent="0.3">
      <c r="A5" s="124"/>
      <c r="B5" s="124"/>
      <c r="C5" s="50" t="s">
        <v>388</v>
      </c>
      <c r="D5" s="50"/>
      <c r="E5" s="50"/>
      <c r="F5" s="50"/>
      <c r="G5" s="54" t="s">
        <v>92</v>
      </c>
      <c r="H5" s="55"/>
      <c r="I5" s="95"/>
      <c r="J5" s="54"/>
      <c r="K5" s="54"/>
      <c r="L5" s="55"/>
    </row>
    <row r="6" spans="1:12" x14ac:dyDescent="0.3">
      <c r="A6" s="125"/>
      <c r="B6" s="125"/>
      <c r="C6" s="70" t="s">
        <v>389</v>
      </c>
      <c r="D6" s="74">
        <v>1</v>
      </c>
      <c r="E6" s="70">
        <v>285</v>
      </c>
      <c r="F6" s="70"/>
      <c r="G6" s="67" t="s">
        <v>390</v>
      </c>
      <c r="H6" s="66"/>
      <c r="I6" s="67"/>
      <c r="J6" s="67"/>
      <c r="K6" s="67"/>
      <c r="L6" s="66"/>
    </row>
    <row r="7" spans="1:12" x14ac:dyDescent="0.3">
      <c r="A7" s="123" t="s">
        <v>391</v>
      </c>
      <c r="B7" s="126" t="s">
        <v>392</v>
      </c>
      <c r="C7" s="50" t="s">
        <v>393</v>
      </c>
      <c r="D7" s="73">
        <v>1</v>
      </c>
      <c r="E7" s="50">
        <v>639</v>
      </c>
      <c r="F7" s="50"/>
      <c r="G7" s="54" t="s">
        <v>394</v>
      </c>
      <c r="H7" s="55"/>
      <c r="I7" s="96"/>
      <c r="J7" s="54"/>
      <c r="K7" s="54"/>
      <c r="L7" s="55"/>
    </row>
    <row r="8" spans="1:12" x14ac:dyDescent="0.3">
      <c r="A8" s="125"/>
      <c r="B8" s="125"/>
      <c r="C8" s="70" t="s">
        <v>395</v>
      </c>
      <c r="D8" s="74">
        <v>1</v>
      </c>
      <c r="E8" s="70">
        <v>352</v>
      </c>
      <c r="F8" s="70"/>
      <c r="G8" s="67" t="s">
        <v>396</v>
      </c>
      <c r="H8" s="66"/>
      <c r="I8" s="67"/>
      <c r="J8" s="94"/>
      <c r="K8" s="67"/>
      <c r="L8" s="66"/>
    </row>
    <row r="9" spans="1:12" x14ac:dyDescent="0.3">
      <c r="A9" s="126" t="s">
        <v>397</v>
      </c>
      <c r="B9" s="126" t="s">
        <v>398</v>
      </c>
      <c r="C9" s="50" t="s">
        <v>399</v>
      </c>
      <c r="D9" s="73">
        <v>1</v>
      </c>
      <c r="E9" s="50">
        <v>419</v>
      </c>
      <c r="F9" s="50"/>
      <c r="G9" s="54" t="s">
        <v>400</v>
      </c>
      <c r="H9" s="55"/>
      <c r="I9" s="54"/>
      <c r="J9" s="54"/>
      <c r="K9" s="54"/>
      <c r="L9" s="55"/>
    </row>
    <row r="10" spans="1:12" x14ac:dyDescent="0.3">
      <c r="A10" s="124"/>
      <c r="B10" s="124"/>
      <c r="C10" s="50" t="s">
        <v>401</v>
      </c>
      <c r="D10" s="73">
        <v>1</v>
      </c>
      <c r="E10" s="50">
        <v>548</v>
      </c>
      <c r="F10" s="50"/>
      <c r="G10" s="54" t="s">
        <v>402</v>
      </c>
      <c r="H10" s="55"/>
      <c r="I10" s="54"/>
      <c r="J10" s="79"/>
      <c r="K10" s="54"/>
      <c r="L10" s="55"/>
    </row>
    <row r="11" spans="1:12" x14ac:dyDescent="0.3">
      <c r="A11" s="125"/>
      <c r="B11" s="125"/>
      <c r="C11" s="70" t="s">
        <v>403</v>
      </c>
      <c r="D11" s="78">
        <v>2</v>
      </c>
      <c r="E11" s="70">
        <v>732</v>
      </c>
      <c r="F11" s="70"/>
      <c r="G11" s="67" t="s">
        <v>404</v>
      </c>
      <c r="H11" s="66"/>
      <c r="I11" s="67"/>
      <c r="J11" s="67"/>
      <c r="K11" s="67"/>
      <c r="L11" s="66"/>
    </row>
  </sheetData>
  <autoFilter ref="C1:L11" xr:uid="{00000000-0009-0000-0000-000006000000}"/>
  <mergeCells count="6">
    <mergeCell ref="A2:A6"/>
    <mergeCell ref="B2:B6"/>
    <mergeCell ref="A7:A8"/>
    <mergeCell ref="B7:B8"/>
    <mergeCell ref="A9:A11"/>
    <mergeCell ref="B9:B11"/>
  </mergeCells>
  <conditionalFormatting sqref="C2:C11 E2:G11 D5 I2:K11">
    <cfRule type="expression" dxfId="144" priority="3">
      <formula>$L2="NX-FRAME"</formula>
    </cfRule>
  </conditionalFormatting>
  <conditionalFormatting sqref="C2:C11 E2:G11 D5">
    <cfRule type="expression" dxfId="143" priority="2">
      <formula>$H2="Not Applicable"</formula>
    </cfRule>
  </conditionalFormatting>
  <conditionalFormatting sqref="C2:C11 E2:G11 I2:K11 D5">
    <cfRule type="expression" dxfId="142" priority="1">
      <formula>$L2="OUT OF SCOPE"</formula>
    </cfRule>
    <cfRule type="expression" dxfId="141" priority="4">
      <formula>$L2="APPLICATION"</formula>
    </cfRule>
    <cfRule type="expression" dxfId="140" priority="5">
      <formula>$L2="ENVIRONMENT"</formula>
    </cfRule>
  </conditionalFormatting>
  <conditionalFormatting sqref="H2:H11">
    <cfRule type="expression" dxfId="139" priority="6">
      <formula>_xludf.AND($H2&lt;&gt;"Not Applicable",$H2&lt;&gt;"Not-valid",$H2&lt;&gt;"Valid")</formula>
    </cfRule>
    <cfRule type="expression" dxfId="138" priority="7">
      <formula>$H2="Valid"</formula>
    </cfRule>
    <cfRule type="expression" dxfId="137" priority="8">
      <formula>$H2="Invalid"</formula>
    </cfRule>
    <cfRule type="expression" dxfId="136" priority="9">
      <formula>$H2="Not Applicable"</formula>
    </cfRule>
  </conditionalFormatting>
  <conditionalFormatting sqref="L2:L11">
    <cfRule type="expression" dxfId="135" priority="10">
      <formula>$L2="APPLICATION"</formula>
    </cfRule>
    <cfRule type="expression" dxfId="134" priority="11">
      <formula>$L2="ENVIRONMENT"</formula>
    </cfRule>
    <cfRule type="expression" dxfId="133" priority="12">
      <formula>$L2="NX-FRAME"</formula>
    </cfRule>
    <cfRule type="expression" dxfId="132" priority="13">
      <formula>$L2="OUT OF SCOPE"</formula>
    </cfRule>
  </conditionalFormatting>
  <dataValidations count="2">
    <dataValidation type="list" allowBlank="1" showErrorMessage="1" sqref="L2:L11" xr:uid="{00000000-0002-0000-0600-000000000000}">
      <formula1>"NX-FRAME,APPLICATION,ENVIRONMENT,OUT OF SCOPE"</formula1>
    </dataValidation>
    <dataValidation type="list" allowBlank="1" showErrorMessage="1" sqref="H2:H11" xr:uid="{00000000-0002-0000-0600-000001000000}">
      <formula1>"Valid,Invalid,Not Applicable"</formula1>
    </dataValidation>
  </dataValidations>
  <pageMargins left="0.78749999999999998" right="0.78749999999999998" top="1.0249999999999999" bottom="1.0249999999999999" header="0" footer="0"/>
  <pageSetup paperSize="9" orientation="portrait"/>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5.5546875" customWidth="1"/>
    <col min="2" max="2" width="23" customWidth="1"/>
    <col min="3" max="3" width="6.5546875" customWidth="1"/>
    <col min="4" max="4" width="13.5546875" customWidth="1"/>
    <col min="5" max="5" width="8.109375" customWidth="1"/>
    <col min="6" max="6" width="8" customWidth="1"/>
    <col min="7" max="7" width="61" customWidth="1"/>
    <col min="8" max="8" width="8.44140625" customWidth="1"/>
    <col min="9" max="9" width="24.44140625" customWidth="1"/>
    <col min="10" max="11" width="12.6640625" customWidth="1"/>
    <col min="12" max="12" width="18.441406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405</v>
      </c>
      <c r="B2" s="127" t="s">
        <v>406</v>
      </c>
      <c r="C2" s="50" t="s">
        <v>407</v>
      </c>
      <c r="D2" s="73">
        <v>1</v>
      </c>
      <c r="E2" s="50">
        <v>235</v>
      </c>
      <c r="F2" s="50"/>
      <c r="G2" s="54" t="s">
        <v>408</v>
      </c>
      <c r="H2" s="55"/>
      <c r="I2" s="60"/>
      <c r="J2" s="54"/>
      <c r="K2" s="54"/>
      <c r="L2" s="55"/>
    </row>
    <row r="3" spans="1:12" x14ac:dyDescent="0.3">
      <c r="A3" s="124"/>
      <c r="B3" s="124"/>
      <c r="C3" s="50" t="s">
        <v>409</v>
      </c>
      <c r="D3" s="73">
        <v>1</v>
      </c>
      <c r="E3" s="50">
        <v>915</v>
      </c>
      <c r="F3" s="50"/>
      <c r="G3" s="54" t="s">
        <v>410</v>
      </c>
      <c r="H3" s="55"/>
      <c r="I3" s="95"/>
      <c r="J3" s="54"/>
      <c r="K3" s="54"/>
      <c r="L3" s="55"/>
    </row>
    <row r="4" spans="1:12" x14ac:dyDescent="0.3">
      <c r="A4" s="124"/>
      <c r="B4" s="124"/>
      <c r="C4" s="50" t="s">
        <v>411</v>
      </c>
      <c r="D4" s="73">
        <v>1</v>
      </c>
      <c r="E4" s="50">
        <v>20</v>
      </c>
      <c r="F4" s="50"/>
      <c r="G4" s="54" t="s">
        <v>412</v>
      </c>
      <c r="H4" s="55"/>
      <c r="I4" s="97"/>
      <c r="J4" s="54"/>
      <c r="K4" s="54"/>
      <c r="L4" s="55"/>
    </row>
    <row r="5" spans="1:12" x14ac:dyDescent="0.3">
      <c r="A5" s="124"/>
      <c r="B5" s="124"/>
      <c r="C5" s="50" t="s">
        <v>413</v>
      </c>
      <c r="D5" s="73">
        <v>1</v>
      </c>
      <c r="E5" s="50">
        <v>20</v>
      </c>
      <c r="F5" s="50"/>
      <c r="G5" s="54" t="s">
        <v>414</v>
      </c>
      <c r="H5" s="98"/>
      <c r="I5" s="60"/>
      <c r="J5" s="99"/>
      <c r="K5" s="54"/>
      <c r="L5" s="55"/>
    </row>
    <row r="6" spans="1:12" x14ac:dyDescent="0.3">
      <c r="A6" s="125"/>
      <c r="B6" s="125"/>
      <c r="C6" s="70" t="s">
        <v>415</v>
      </c>
      <c r="D6" s="74">
        <v>1</v>
      </c>
      <c r="E6" s="70">
        <v>601</v>
      </c>
      <c r="F6" s="70"/>
      <c r="G6" s="67" t="s">
        <v>416</v>
      </c>
      <c r="H6" s="66"/>
      <c r="I6" s="67"/>
      <c r="J6" s="67"/>
      <c r="K6" s="67"/>
      <c r="L6" s="66"/>
    </row>
    <row r="7" spans="1:12" x14ac:dyDescent="0.3">
      <c r="A7" s="123" t="s">
        <v>417</v>
      </c>
      <c r="B7" s="123" t="s">
        <v>418</v>
      </c>
      <c r="C7" s="50" t="s">
        <v>295</v>
      </c>
      <c r="D7" s="73">
        <v>1</v>
      </c>
      <c r="E7" s="50">
        <v>116</v>
      </c>
      <c r="F7" s="50"/>
      <c r="G7" s="54" t="s">
        <v>419</v>
      </c>
      <c r="H7" s="55"/>
      <c r="I7" s="96"/>
      <c r="J7" s="54"/>
      <c r="K7" s="54"/>
      <c r="L7" s="55"/>
    </row>
    <row r="8" spans="1:12" x14ac:dyDescent="0.3">
      <c r="A8" s="124"/>
      <c r="B8" s="124"/>
      <c r="C8" s="50" t="s">
        <v>420</v>
      </c>
      <c r="D8" s="73">
        <v>1</v>
      </c>
      <c r="E8" s="50">
        <v>138</v>
      </c>
      <c r="F8" s="50"/>
      <c r="G8" s="54" t="s">
        <v>421</v>
      </c>
      <c r="H8" s="55"/>
      <c r="I8" s="54"/>
      <c r="J8" s="54"/>
      <c r="K8" s="54"/>
      <c r="L8" s="55"/>
    </row>
    <row r="9" spans="1:12" x14ac:dyDescent="0.3">
      <c r="A9" s="124"/>
      <c r="B9" s="124"/>
      <c r="C9" s="50" t="s">
        <v>298</v>
      </c>
      <c r="D9" s="73">
        <v>1</v>
      </c>
      <c r="E9" s="50">
        <v>147</v>
      </c>
      <c r="F9" s="50"/>
      <c r="G9" s="54" t="s">
        <v>422</v>
      </c>
      <c r="H9" s="55"/>
      <c r="I9" s="54"/>
      <c r="J9" s="54"/>
      <c r="K9" s="54"/>
      <c r="L9" s="55"/>
    </row>
    <row r="10" spans="1:12" x14ac:dyDescent="0.3">
      <c r="A10" s="124"/>
      <c r="B10" s="124"/>
      <c r="C10" s="50" t="s">
        <v>423</v>
      </c>
      <c r="D10" s="73">
        <v>1</v>
      </c>
      <c r="E10" s="50">
        <v>95</v>
      </c>
      <c r="F10" s="50"/>
      <c r="G10" s="54" t="s">
        <v>424</v>
      </c>
      <c r="H10" s="55"/>
      <c r="I10" s="100"/>
      <c r="J10" s="54"/>
      <c r="K10" s="54"/>
      <c r="L10" s="55"/>
    </row>
    <row r="11" spans="1:12" x14ac:dyDescent="0.3">
      <c r="A11" s="124"/>
      <c r="B11" s="124"/>
      <c r="C11" s="50" t="s">
        <v>205</v>
      </c>
      <c r="D11" s="73">
        <v>1</v>
      </c>
      <c r="E11" s="50">
        <v>94</v>
      </c>
      <c r="F11" s="50"/>
      <c r="G11" s="54" t="s">
        <v>425</v>
      </c>
      <c r="H11" s="55"/>
      <c r="I11" s="95"/>
      <c r="J11" s="54"/>
      <c r="K11" s="54"/>
      <c r="L11" s="55"/>
    </row>
    <row r="12" spans="1:12" x14ac:dyDescent="0.3">
      <c r="A12" s="124"/>
      <c r="B12" s="124"/>
      <c r="C12" s="50" t="s">
        <v>208</v>
      </c>
      <c r="D12" s="73">
        <v>1</v>
      </c>
      <c r="E12" s="50">
        <v>918</v>
      </c>
      <c r="F12" s="50"/>
      <c r="G12" s="54" t="s">
        <v>426</v>
      </c>
      <c r="H12" s="55"/>
      <c r="I12" s="95"/>
      <c r="J12" s="54"/>
      <c r="K12" s="54"/>
      <c r="L12" s="55"/>
    </row>
    <row r="13" spans="1:12" x14ac:dyDescent="0.3">
      <c r="A13" s="124"/>
      <c r="B13" s="124"/>
      <c r="C13" s="50" t="s">
        <v>427</v>
      </c>
      <c r="D13" s="73">
        <v>1</v>
      </c>
      <c r="E13" s="50">
        <v>159</v>
      </c>
      <c r="F13" s="50"/>
      <c r="G13" s="54" t="s">
        <v>428</v>
      </c>
      <c r="H13" s="55"/>
      <c r="I13" s="101"/>
      <c r="J13" s="54"/>
      <c r="K13" s="54"/>
      <c r="L13" s="55"/>
    </row>
    <row r="14" spans="1:12" x14ac:dyDescent="0.3">
      <c r="A14" s="125"/>
      <c r="B14" s="125"/>
      <c r="C14" s="70" t="s">
        <v>211</v>
      </c>
      <c r="D14" s="74">
        <v>1</v>
      </c>
      <c r="E14" s="70">
        <v>94</v>
      </c>
      <c r="F14" s="70"/>
      <c r="G14" s="67" t="s">
        <v>429</v>
      </c>
      <c r="H14" s="66"/>
      <c r="I14" s="102"/>
      <c r="J14" s="67"/>
      <c r="K14" s="67"/>
      <c r="L14" s="66"/>
    </row>
    <row r="15" spans="1:12" x14ac:dyDescent="0.3">
      <c r="A15" s="123" t="s">
        <v>430</v>
      </c>
      <c r="B15" s="123" t="s">
        <v>431</v>
      </c>
      <c r="C15" s="50" t="s">
        <v>432</v>
      </c>
      <c r="D15" s="73">
        <v>1</v>
      </c>
      <c r="E15" s="50">
        <v>116</v>
      </c>
      <c r="F15" s="50"/>
      <c r="G15" s="54" t="s">
        <v>433</v>
      </c>
      <c r="H15" s="55"/>
      <c r="I15" s="54"/>
      <c r="J15" s="79"/>
      <c r="K15" s="54"/>
      <c r="L15" s="55"/>
    </row>
    <row r="16" spans="1:12" x14ac:dyDescent="0.3">
      <c r="A16" s="124"/>
      <c r="B16" s="124"/>
      <c r="C16" s="50" t="s">
        <v>434</v>
      </c>
      <c r="D16" s="73">
        <v>1</v>
      </c>
      <c r="E16" s="50">
        <v>176</v>
      </c>
      <c r="F16" s="50"/>
      <c r="G16" s="54" t="s">
        <v>435</v>
      </c>
      <c r="H16" s="55"/>
      <c r="I16" s="54"/>
      <c r="J16" s="79"/>
      <c r="K16" s="54"/>
      <c r="L16" s="55"/>
    </row>
    <row r="17" spans="1:12" x14ac:dyDescent="0.3">
      <c r="A17" s="124"/>
      <c r="B17" s="124"/>
      <c r="C17" s="50" t="s">
        <v>436</v>
      </c>
      <c r="D17" s="73">
        <v>1</v>
      </c>
      <c r="E17" s="50">
        <v>79</v>
      </c>
      <c r="F17" s="50"/>
      <c r="G17" s="54" t="s">
        <v>437</v>
      </c>
      <c r="H17" s="55"/>
      <c r="I17" s="95"/>
      <c r="J17" s="54"/>
      <c r="K17" s="54"/>
      <c r="L17" s="55"/>
    </row>
    <row r="18" spans="1:12" x14ac:dyDescent="0.3">
      <c r="A18" s="124"/>
      <c r="B18" s="124"/>
      <c r="C18" s="50" t="s">
        <v>438</v>
      </c>
      <c r="D18" s="73">
        <v>1</v>
      </c>
      <c r="E18" s="50">
        <v>89</v>
      </c>
      <c r="F18" s="50"/>
      <c r="G18" s="54" t="s">
        <v>439</v>
      </c>
      <c r="H18" s="55"/>
      <c r="I18" s="54"/>
      <c r="J18" s="54"/>
      <c r="K18" s="54"/>
      <c r="L18" s="55"/>
    </row>
    <row r="19" spans="1:12" x14ac:dyDescent="0.3">
      <c r="A19" s="124"/>
      <c r="B19" s="124"/>
      <c r="C19" s="50" t="s">
        <v>440</v>
      </c>
      <c r="D19" s="73">
        <v>1</v>
      </c>
      <c r="E19" s="50">
        <v>89</v>
      </c>
      <c r="F19" s="50"/>
      <c r="G19" s="54" t="s">
        <v>441</v>
      </c>
      <c r="H19" s="55"/>
      <c r="I19" s="54"/>
      <c r="J19" s="79"/>
      <c r="K19" s="54"/>
      <c r="L19" s="55"/>
    </row>
    <row r="20" spans="1:12" x14ac:dyDescent="0.3">
      <c r="A20" s="124"/>
      <c r="B20" s="124"/>
      <c r="C20" s="50" t="s">
        <v>442</v>
      </c>
      <c r="D20" s="73">
        <v>1</v>
      </c>
      <c r="E20" s="50">
        <v>830</v>
      </c>
      <c r="F20" s="50"/>
      <c r="G20" s="54" t="s">
        <v>443</v>
      </c>
      <c r="H20" s="55"/>
      <c r="I20" s="95"/>
      <c r="J20" s="54"/>
      <c r="K20" s="54"/>
      <c r="L20" s="55"/>
    </row>
    <row r="21" spans="1:12" x14ac:dyDescent="0.3">
      <c r="A21" s="124"/>
      <c r="B21" s="124"/>
      <c r="C21" s="50" t="s">
        <v>444</v>
      </c>
      <c r="D21" s="73">
        <v>1</v>
      </c>
      <c r="E21" s="50">
        <v>943</v>
      </c>
      <c r="F21" s="50"/>
      <c r="G21" s="54" t="s">
        <v>445</v>
      </c>
      <c r="H21" s="55"/>
      <c r="I21" s="54"/>
      <c r="J21" s="79"/>
      <c r="K21" s="54"/>
      <c r="L21" s="55"/>
    </row>
    <row r="22" spans="1:12" x14ac:dyDescent="0.3">
      <c r="A22" s="124"/>
      <c r="B22" s="124"/>
      <c r="C22" s="50" t="s">
        <v>446</v>
      </c>
      <c r="D22" s="73">
        <v>1</v>
      </c>
      <c r="E22" s="50">
        <v>78</v>
      </c>
      <c r="F22" s="50"/>
      <c r="G22" s="54" t="s">
        <v>447</v>
      </c>
      <c r="H22" s="55"/>
      <c r="I22" s="54"/>
      <c r="J22" s="79"/>
      <c r="K22" s="54"/>
      <c r="L22" s="55"/>
    </row>
    <row r="23" spans="1:12" x14ac:dyDescent="0.3">
      <c r="A23" s="124"/>
      <c r="B23" s="124"/>
      <c r="C23" s="50" t="s">
        <v>448</v>
      </c>
      <c r="D23" s="73">
        <v>1</v>
      </c>
      <c r="E23" s="50">
        <v>829</v>
      </c>
      <c r="F23" s="50"/>
      <c r="G23" s="54" t="s">
        <v>449</v>
      </c>
      <c r="H23" s="55"/>
      <c r="I23" s="54"/>
      <c r="J23" s="54"/>
      <c r="K23" s="54"/>
      <c r="L23" s="55"/>
    </row>
    <row r="24" spans="1:12" x14ac:dyDescent="0.3">
      <c r="A24" s="125"/>
      <c r="B24" s="125"/>
      <c r="C24" s="70" t="s">
        <v>450</v>
      </c>
      <c r="D24" s="74">
        <v>1</v>
      </c>
      <c r="E24" s="70">
        <v>643</v>
      </c>
      <c r="F24" s="70"/>
      <c r="G24" s="67" t="s">
        <v>451</v>
      </c>
      <c r="H24" s="66"/>
      <c r="I24" s="67"/>
      <c r="J24" s="67"/>
      <c r="K24" s="67"/>
      <c r="L24" s="66"/>
    </row>
    <row r="25" spans="1:12" x14ac:dyDescent="0.3">
      <c r="A25" s="123" t="s">
        <v>452</v>
      </c>
      <c r="B25" s="123" t="s">
        <v>453</v>
      </c>
      <c r="C25" s="50" t="s">
        <v>454</v>
      </c>
      <c r="D25" s="77">
        <v>2</v>
      </c>
      <c r="E25" s="50">
        <v>120</v>
      </c>
      <c r="F25" s="50"/>
      <c r="G25" s="54" t="s">
        <v>455</v>
      </c>
      <c r="H25" s="55"/>
      <c r="I25" s="54"/>
      <c r="J25" s="54"/>
      <c r="K25" s="54"/>
      <c r="L25" s="55"/>
    </row>
    <row r="26" spans="1:12" x14ac:dyDescent="0.3">
      <c r="A26" s="124"/>
      <c r="B26" s="124"/>
      <c r="C26" s="50" t="s">
        <v>456</v>
      </c>
      <c r="D26" s="77">
        <v>2</v>
      </c>
      <c r="E26" s="50">
        <v>134</v>
      </c>
      <c r="F26" s="50"/>
      <c r="G26" s="54" t="s">
        <v>457</v>
      </c>
      <c r="H26" s="55"/>
      <c r="I26" s="54"/>
      <c r="J26" s="54"/>
      <c r="K26" s="54"/>
      <c r="L26" s="55"/>
    </row>
    <row r="27" spans="1:12" x14ac:dyDescent="0.3">
      <c r="A27" s="125"/>
      <c r="B27" s="125"/>
      <c r="C27" s="70" t="s">
        <v>458</v>
      </c>
      <c r="D27" s="78">
        <v>2</v>
      </c>
      <c r="E27" s="70">
        <v>190</v>
      </c>
      <c r="F27" s="70"/>
      <c r="G27" s="67" t="s">
        <v>459</v>
      </c>
      <c r="H27" s="66"/>
      <c r="I27" s="67"/>
      <c r="J27" s="67"/>
      <c r="K27" s="67"/>
      <c r="L27" s="66"/>
    </row>
    <row r="28" spans="1:12" x14ac:dyDescent="0.3">
      <c r="A28" s="126" t="s">
        <v>460</v>
      </c>
      <c r="B28" s="123" t="s">
        <v>461</v>
      </c>
      <c r="C28" s="50" t="s">
        <v>462</v>
      </c>
      <c r="D28" s="73">
        <v>1</v>
      </c>
      <c r="E28" s="50">
        <v>502</v>
      </c>
      <c r="F28" s="50"/>
      <c r="G28" s="54" t="s">
        <v>463</v>
      </c>
      <c r="H28" s="55"/>
      <c r="I28" s="54"/>
      <c r="J28" s="54"/>
      <c r="K28" s="54"/>
      <c r="L28" s="55"/>
    </row>
    <row r="29" spans="1:12" x14ac:dyDescent="0.3">
      <c r="A29" s="124"/>
      <c r="B29" s="124"/>
      <c r="C29" s="50" t="s">
        <v>464</v>
      </c>
      <c r="D29" s="73">
        <v>1</v>
      </c>
      <c r="E29" s="50">
        <v>611</v>
      </c>
      <c r="F29" s="50"/>
      <c r="G29" s="54" t="s">
        <v>465</v>
      </c>
      <c r="H29" s="55"/>
      <c r="I29" s="54"/>
      <c r="J29" s="79"/>
      <c r="K29" s="54"/>
      <c r="L29" s="55"/>
    </row>
    <row r="30" spans="1:12" x14ac:dyDescent="0.3">
      <c r="A30" s="124"/>
      <c r="B30" s="124"/>
      <c r="C30" s="50" t="s">
        <v>466</v>
      </c>
      <c r="D30" s="73">
        <v>1</v>
      </c>
      <c r="E30" s="50">
        <v>502</v>
      </c>
      <c r="F30" s="50"/>
      <c r="G30" s="54" t="s">
        <v>467</v>
      </c>
      <c r="H30" s="55"/>
      <c r="I30" s="54"/>
      <c r="J30" s="54"/>
      <c r="K30" s="54"/>
      <c r="L30" s="55"/>
    </row>
    <row r="31" spans="1:12" x14ac:dyDescent="0.3">
      <c r="A31" s="125"/>
      <c r="B31" s="125"/>
      <c r="C31" s="70" t="s">
        <v>468</v>
      </c>
      <c r="D31" s="74">
        <v>1</v>
      </c>
      <c r="E31" s="70">
        <v>95</v>
      </c>
      <c r="F31" s="70"/>
      <c r="G31" s="67" t="s">
        <v>469</v>
      </c>
      <c r="H31" s="66"/>
      <c r="I31" s="84"/>
      <c r="J31" s="67"/>
      <c r="K31" s="67"/>
      <c r="L31" s="66"/>
    </row>
  </sheetData>
  <autoFilter ref="C1:L31" xr:uid="{00000000-0009-0000-0000-000007000000}"/>
  <mergeCells count="10">
    <mergeCell ref="A25:A27"/>
    <mergeCell ref="A28:A31"/>
    <mergeCell ref="B28:B31"/>
    <mergeCell ref="A2:A6"/>
    <mergeCell ref="B2:B6"/>
    <mergeCell ref="A7:A14"/>
    <mergeCell ref="B7:B14"/>
    <mergeCell ref="A15:A24"/>
    <mergeCell ref="B15:B24"/>
    <mergeCell ref="B25:B27"/>
  </mergeCells>
  <conditionalFormatting sqref="C2:C31 E2:G31 I2:K31">
    <cfRule type="expression" dxfId="131" priority="1">
      <formula>$L2="OUT OF SCOPE"</formula>
    </cfRule>
    <cfRule type="expression" dxfId="130" priority="2">
      <formula>$L2="NX-FRAME"</formula>
    </cfRule>
    <cfRule type="expression" dxfId="129" priority="3">
      <formula>$L2="APPLICATION"</formula>
    </cfRule>
    <cfRule type="expression" dxfId="128" priority="4">
      <formula>$L2="ENVIRONMENT"</formula>
    </cfRule>
  </conditionalFormatting>
  <conditionalFormatting sqref="C2:C31 E2:G31">
    <cfRule type="expression" dxfId="127" priority="5">
      <formula>$H2="Not Applicable"</formula>
    </cfRule>
  </conditionalFormatting>
  <conditionalFormatting sqref="H2:H31">
    <cfRule type="expression" dxfId="126" priority="6">
      <formula>_xludf.AND($H2&lt;&gt;"Not Applicable",$H2&lt;&gt;"Not-valid",$H2&lt;&gt;"Valid")</formula>
    </cfRule>
    <cfRule type="expression" dxfId="125" priority="7">
      <formula>$H2="Valid"</formula>
    </cfRule>
    <cfRule type="expression" dxfId="124" priority="8">
      <formula>$H2="Invalid"</formula>
    </cfRule>
    <cfRule type="expression" dxfId="123" priority="9">
      <formula>$H2="Not Applicable"</formula>
    </cfRule>
  </conditionalFormatting>
  <conditionalFormatting sqref="L2:L31">
    <cfRule type="expression" dxfId="122" priority="10">
      <formula>$L2="APPLICATION"</formula>
    </cfRule>
    <cfRule type="expression" dxfId="121" priority="11">
      <formula>$L2="ENVIRONMENT"</formula>
    </cfRule>
    <cfRule type="expression" dxfId="120" priority="12">
      <formula>$L2="NX-FRAME"</formula>
    </cfRule>
    <cfRule type="expression" dxfId="119" priority="13">
      <formula>$L2="OUT OF SCOPE"</formula>
    </cfRule>
  </conditionalFormatting>
  <dataValidations count="2">
    <dataValidation type="list" allowBlank="1" showErrorMessage="1" sqref="L2:L31" xr:uid="{00000000-0002-0000-0700-000000000000}">
      <formula1>"NX-FRAME,APPLICATION,ENVIRONMENT,OUT OF SCOPE"</formula1>
    </dataValidation>
    <dataValidation type="list" allowBlank="1" showErrorMessage="1" sqref="H2:H31" xr:uid="{00000000-0002-0000-07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5.5546875" customWidth="1"/>
    <col min="2" max="2" width="19" customWidth="1"/>
    <col min="3" max="3" width="5.44140625" customWidth="1"/>
    <col min="4" max="4" width="13.5546875" customWidth="1"/>
    <col min="5" max="5" width="8.109375" customWidth="1"/>
    <col min="6" max="6" width="10.44140625" customWidth="1"/>
    <col min="7" max="7" width="64" customWidth="1"/>
    <col min="8" max="8" width="8.44140625" customWidth="1"/>
    <col min="9" max="9" width="24.44140625" customWidth="1"/>
    <col min="10" max="11" width="12.6640625" customWidth="1"/>
    <col min="12" max="12" width="18.441406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470</v>
      </c>
      <c r="B2" s="128" t="s">
        <v>471</v>
      </c>
      <c r="C2" s="50" t="s">
        <v>472</v>
      </c>
      <c r="D2" s="77">
        <v>2</v>
      </c>
      <c r="E2" s="50">
        <v>311</v>
      </c>
      <c r="F2" s="50"/>
      <c r="G2" s="54" t="s">
        <v>473</v>
      </c>
      <c r="H2" s="55"/>
      <c r="I2" s="54"/>
      <c r="J2" s="54"/>
      <c r="K2" s="54"/>
      <c r="L2" s="55"/>
    </row>
    <row r="3" spans="1:12" x14ac:dyDescent="0.3">
      <c r="A3" s="124"/>
      <c r="B3" s="124"/>
      <c r="C3" s="50" t="s">
        <v>474</v>
      </c>
      <c r="D3" s="77">
        <v>2</v>
      </c>
      <c r="E3" s="50">
        <v>311</v>
      </c>
      <c r="F3" s="50"/>
      <c r="G3" s="54" t="s">
        <v>475</v>
      </c>
      <c r="H3" s="55"/>
      <c r="I3" s="54"/>
      <c r="J3" s="54"/>
      <c r="K3" s="54"/>
      <c r="L3" s="55"/>
    </row>
    <row r="4" spans="1:12" x14ac:dyDescent="0.3">
      <c r="A4" s="125"/>
      <c r="B4" s="125"/>
      <c r="C4" s="70" t="s">
        <v>222</v>
      </c>
      <c r="D4" s="78">
        <v>2</v>
      </c>
      <c r="E4" s="70">
        <v>311</v>
      </c>
      <c r="F4" s="70"/>
      <c r="G4" s="67" t="s">
        <v>476</v>
      </c>
      <c r="H4" s="66"/>
      <c r="I4" s="67"/>
      <c r="J4" s="67"/>
      <c r="K4" s="67"/>
      <c r="L4" s="66"/>
    </row>
    <row r="5" spans="1:12" x14ac:dyDescent="0.3">
      <c r="A5" s="123" t="s">
        <v>477</v>
      </c>
      <c r="B5" s="126" t="s">
        <v>478</v>
      </c>
      <c r="C5" s="50" t="s">
        <v>479</v>
      </c>
      <c r="D5" s="73">
        <v>1</v>
      </c>
      <c r="E5" s="50">
        <v>310</v>
      </c>
      <c r="F5" s="50"/>
      <c r="G5" s="54" t="s">
        <v>480</v>
      </c>
      <c r="H5" s="55"/>
      <c r="I5" s="54"/>
      <c r="J5" s="54"/>
      <c r="K5" s="54"/>
      <c r="L5" s="55"/>
    </row>
    <row r="6" spans="1:12" x14ac:dyDescent="0.3">
      <c r="A6" s="124"/>
      <c r="B6" s="124"/>
      <c r="C6" s="50" t="s">
        <v>481</v>
      </c>
      <c r="D6" s="77">
        <v>2</v>
      </c>
      <c r="E6" s="50">
        <v>327</v>
      </c>
      <c r="F6" s="50"/>
      <c r="G6" s="54" t="s">
        <v>482</v>
      </c>
      <c r="H6" s="55"/>
      <c r="I6" s="54"/>
      <c r="J6" s="54"/>
      <c r="K6" s="54"/>
      <c r="L6" s="55"/>
    </row>
    <row r="7" spans="1:12" x14ac:dyDescent="0.3">
      <c r="A7" s="124"/>
      <c r="B7" s="124"/>
      <c r="C7" s="50" t="s">
        <v>483</v>
      </c>
      <c r="D7" s="77">
        <v>2</v>
      </c>
      <c r="E7" s="50">
        <v>326</v>
      </c>
      <c r="F7" s="50"/>
      <c r="G7" s="54" t="s">
        <v>484</v>
      </c>
      <c r="H7" s="55"/>
      <c r="I7" s="54"/>
      <c r="J7" s="54"/>
      <c r="K7" s="54"/>
      <c r="L7" s="55"/>
    </row>
    <row r="8" spans="1:12" x14ac:dyDescent="0.3">
      <c r="A8" s="124"/>
      <c r="B8" s="124"/>
      <c r="C8" s="50" t="s">
        <v>485</v>
      </c>
      <c r="D8" s="77">
        <v>2</v>
      </c>
      <c r="E8" s="50">
        <v>326</v>
      </c>
      <c r="F8" s="50"/>
      <c r="G8" s="54" t="s">
        <v>486</v>
      </c>
      <c r="H8" s="55"/>
      <c r="I8" s="54"/>
      <c r="J8" s="54"/>
      <c r="K8" s="54"/>
      <c r="L8" s="55"/>
    </row>
    <row r="9" spans="1:12" x14ac:dyDescent="0.3">
      <c r="A9" s="124"/>
      <c r="B9" s="124"/>
      <c r="C9" s="50" t="s">
        <v>487</v>
      </c>
      <c r="D9" s="77">
        <v>2</v>
      </c>
      <c r="E9" s="50">
        <v>326</v>
      </c>
      <c r="F9" s="50"/>
      <c r="G9" s="54" t="s">
        <v>488</v>
      </c>
      <c r="H9" s="55"/>
      <c r="I9" s="54"/>
      <c r="J9" s="54"/>
      <c r="K9" s="54"/>
      <c r="L9" s="55"/>
    </row>
    <row r="10" spans="1:12" x14ac:dyDescent="0.3">
      <c r="A10" s="124"/>
      <c r="B10" s="124"/>
      <c r="C10" s="50" t="s">
        <v>489</v>
      </c>
      <c r="D10" s="77">
        <v>2</v>
      </c>
      <c r="E10" s="50">
        <v>326</v>
      </c>
      <c r="F10" s="50"/>
      <c r="G10" s="54" t="s">
        <v>490</v>
      </c>
      <c r="H10" s="55"/>
      <c r="I10" s="54"/>
      <c r="J10" s="54"/>
      <c r="K10" s="54"/>
      <c r="L10" s="55"/>
    </row>
    <row r="11" spans="1:12" x14ac:dyDescent="0.3">
      <c r="A11" s="124"/>
      <c r="B11" s="124"/>
      <c r="C11" s="50" t="s">
        <v>491</v>
      </c>
      <c r="D11" s="91">
        <v>3</v>
      </c>
      <c r="E11" s="50">
        <v>326</v>
      </c>
      <c r="F11" s="50"/>
      <c r="G11" s="54" t="s">
        <v>492</v>
      </c>
      <c r="H11" s="55"/>
      <c r="I11" s="54"/>
      <c r="J11" s="54"/>
      <c r="K11" s="54"/>
      <c r="L11" s="55"/>
    </row>
    <row r="12" spans="1:12" x14ac:dyDescent="0.3">
      <c r="A12" s="125"/>
      <c r="B12" s="125"/>
      <c r="C12" s="70" t="s">
        <v>493</v>
      </c>
      <c r="D12" s="92">
        <v>3</v>
      </c>
      <c r="E12" s="70">
        <v>385</v>
      </c>
      <c r="F12" s="70"/>
      <c r="G12" s="67" t="s">
        <v>494</v>
      </c>
      <c r="H12" s="66"/>
      <c r="I12" s="67"/>
      <c r="J12" s="67"/>
      <c r="K12" s="67"/>
      <c r="L12" s="66"/>
    </row>
    <row r="13" spans="1:12" x14ac:dyDescent="0.3">
      <c r="A13" s="123" t="s">
        <v>495</v>
      </c>
      <c r="B13" s="126" t="s">
        <v>496</v>
      </c>
      <c r="C13" s="50" t="s">
        <v>497</v>
      </c>
      <c r="D13" s="77">
        <v>2</v>
      </c>
      <c r="E13" s="50">
        <v>338</v>
      </c>
      <c r="F13" s="50"/>
      <c r="G13" s="54" t="s">
        <v>498</v>
      </c>
      <c r="H13" s="55"/>
      <c r="I13" s="54"/>
      <c r="J13" s="54"/>
      <c r="K13" s="54"/>
      <c r="L13" s="55"/>
    </row>
    <row r="14" spans="1:12" x14ac:dyDescent="0.3">
      <c r="A14" s="124"/>
      <c r="B14" s="124"/>
      <c r="C14" s="50" t="s">
        <v>499</v>
      </c>
      <c r="D14" s="77">
        <v>2</v>
      </c>
      <c r="E14" s="50">
        <v>338</v>
      </c>
      <c r="F14" s="50"/>
      <c r="G14" s="54" t="s">
        <v>500</v>
      </c>
      <c r="H14" s="55"/>
      <c r="I14" s="54"/>
      <c r="J14" s="54"/>
      <c r="K14" s="54"/>
      <c r="L14" s="55"/>
    </row>
    <row r="15" spans="1:12" x14ac:dyDescent="0.3">
      <c r="A15" s="125"/>
      <c r="B15" s="125"/>
      <c r="C15" s="70" t="s">
        <v>501</v>
      </c>
      <c r="D15" s="92">
        <v>3</v>
      </c>
      <c r="E15" s="70">
        <v>338</v>
      </c>
      <c r="F15" s="70"/>
      <c r="G15" s="67" t="s">
        <v>502</v>
      </c>
      <c r="H15" s="66"/>
      <c r="I15" s="67"/>
      <c r="J15" s="67"/>
      <c r="K15" s="67"/>
      <c r="L15" s="66"/>
    </row>
    <row r="16" spans="1:12" x14ac:dyDescent="0.3">
      <c r="A16" s="123" t="s">
        <v>503</v>
      </c>
      <c r="B16" s="126" t="s">
        <v>504</v>
      </c>
      <c r="C16" s="50" t="s">
        <v>505</v>
      </c>
      <c r="D16" s="77">
        <v>2</v>
      </c>
      <c r="E16" s="50">
        <v>798</v>
      </c>
      <c r="F16" s="50"/>
      <c r="G16" s="54" t="s">
        <v>506</v>
      </c>
      <c r="H16" s="55"/>
      <c r="I16" s="54"/>
      <c r="J16" s="54"/>
      <c r="K16" s="54"/>
      <c r="L16" s="55"/>
    </row>
    <row r="17" spans="1:12" x14ac:dyDescent="0.3">
      <c r="A17" s="125"/>
      <c r="B17" s="125"/>
      <c r="C17" s="70" t="s">
        <v>507</v>
      </c>
      <c r="D17" s="78">
        <v>2</v>
      </c>
      <c r="E17" s="70">
        <v>320</v>
      </c>
      <c r="F17" s="70"/>
      <c r="G17" s="67" t="s">
        <v>508</v>
      </c>
      <c r="H17" s="66"/>
      <c r="I17" s="67"/>
      <c r="J17" s="67"/>
      <c r="K17" s="67"/>
      <c r="L17" s="66"/>
    </row>
  </sheetData>
  <autoFilter ref="C1:L17" xr:uid="{00000000-0009-0000-0000-000008000000}"/>
  <mergeCells count="8">
    <mergeCell ref="A16:A17"/>
    <mergeCell ref="B16:B17"/>
    <mergeCell ref="A2:A4"/>
    <mergeCell ref="B2:B4"/>
    <mergeCell ref="A5:A12"/>
    <mergeCell ref="B5:B12"/>
    <mergeCell ref="A13:A15"/>
    <mergeCell ref="B13:B15"/>
  </mergeCells>
  <conditionalFormatting sqref="C2:C17 E2:G17 I2:K17">
    <cfRule type="expression" dxfId="118" priority="1">
      <formula>$L2="OUT OF SCOPE"</formula>
    </cfRule>
    <cfRule type="expression" dxfId="117" priority="2">
      <formula>$L2="NX-FRAME"</formula>
    </cfRule>
    <cfRule type="expression" dxfId="116" priority="3">
      <formula>$L2="APPLICATION"</formula>
    </cfRule>
    <cfRule type="expression" dxfId="115" priority="4">
      <formula>$L2="ENVIRONMENT"</formula>
    </cfRule>
  </conditionalFormatting>
  <conditionalFormatting sqref="C2:C17 E2:G17">
    <cfRule type="expression" dxfId="114" priority="5">
      <formula>$H2="Not Applicable"</formula>
    </cfRule>
  </conditionalFormatting>
  <conditionalFormatting sqref="H2:H17">
    <cfRule type="expression" dxfId="113" priority="6">
      <formula>_xludf.AND($H2&lt;&gt;"Not Applicable",$H2&lt;&gt;"Not-valid",$H2&lt;&gt;"Valid")</formula>
    </cfRule>
    <cfRule type="expression" dxfId="112" priority="7">
      <formula>$H2="Valid"</formula>
    </cfRule>
    <cfRule type="expression" dxfId="111" priority="8">
      <formula>$H2="Invalid"</formula>
    </cfRule>
    <cfRule type="expression" dxfId="110" priority="9">
      <formula>$H2="Not Applicable"</formula>
    </cfRule>
  </conditionalFormatting>
  <conditionalFormatting sqref="L2:L17">
    <cfRule type="expression" dxfId="109" priority="10">
      <formula>$L2="APPLICATION"</formula>
    </cfRule>
    <cfRule type="expression" dxfId="108" priority="11">
      <formula>$L2="ENVIRONMENT"</formula>
    </cfRule>
    <cfRule type="expression" dxfId="107" priority="12">
      <formula>$L2="NX-FRAME"</formula>
    </cfRule>
    <cfRule type="expression" dxfId="106" priority="13">
      <formula>$L2="OUT OF SCOPE"</formula>
    </cfRule>
  </conditionalFormatting>
  <dataValidations count="2">
    <dataValidation type="list" allowBlank="1" showErrorMessage="1" sqref="L2:L17" xr:uid="{00000000-0002-0000-0800-000000000000}">
      <formula1>"NX-FRAME,APPLICATION,ENVIRONMENT,OUT OF SCOPE"</formula1>
    </dataValidation>
    <dataValidation type="list" allowBlank="1" showErrorMessage="1" sqref="H2:H17" xr:uid="{00000000-0002-0000-0800-000001000000}">
      <formula1>"Valid,Invalid,Not Applicable"</formula1>
    </dataValidation>
  </dataValidations>
  <pageMargins left="0.78749999999999998" right="0.78749999999999998" top="1.0249999999999999" bottom="1.0249999999999999" header="0" footer="0"/>
  <pageSetup paperSize="9" orientation="portrait"/>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7" customWidth="1"/>
    <col min="2" max="2" width="16.6640625" customWidth="1"/>
    <col min="3" max="3" width="5.44140625" customWidth="1"/>
    <col min="4" max="4" width="13.5546875" customWidth="1"/>
    <col min="5" max="5" width="10.44140625" customWidth="1"/>
    <col min="6" max="6" width="8" customWidth="1"/>
    <col min="7" max="7" width="65.5546875" customWidth="1"/>
    <col min="8" max="8" width="9" customWidth="1"/>
    <col min="9" max="9" width="24.44140625" customWidth="1"/>
    <col min="10" max="11" width="12.6640625" customWidth="1"/>
    <col min="12" max="12" width="18.441406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509</v>
      </c>
      <c r="B2" s="127" t="s">
        <v>510</v>
      </c>
      <c r="C2" s="50" t="s">
        <v>350</v>
      </c>
      <c r="D2" s="73">
        <v>1</v>
      </c>
      <c r="E2" s="50">
        <v>532</v>
      </c>
      <c r="F2" s="50"/>
      <c r="G2" s="54" t="s">
        <v>511</v>
      </c>
      <c r="H2" s="55"/>
      <c r="I2" s="54"/>
      <c r="J2" s="54"/>
      <c r="K2" s="54"/>
      <c r="L2" s="55"/>
    </row>
    <row r="3" spans="1:12" x14ac:dyDescent="0.3">
      <c r="A3" s="124"/>
      <c r="B3" s="124"/>
      <c r="C3" s="50" t="s">
        <v>363</v>
      </c>
      <c r="D3" s="73">
        <v>1</v>
      </c>
      <c r="E3" s="50">
        <v>532</v>
      </c>
      <c r="F3" s="50"/>
      <c r="G3" s="54" t="s">
        <v>512</v>
      </c>
      <c r="H3" s="55"/>
      <c r="I3" s="54"/>
      <c r="J3" s="54"/>
      <c r="K3" s="54"/>
      <c r="L3" s="55"/>
    </row>
    <row r="4" spans="1:12" x14ac:dyDescent="0.3">
      <c r="A4" s="124"/>
      <c r="B4" s="124"/>
      <c r="C4" s="50" t="s">
        <v>513</v>
      </c>
      <c r="D4" s="77">
        <v>2</v>
      </c>
      <c r="E4" s="50">
        <v>778</v>
      </c>
      <c r="F4" s="50"/>
      <c r="G4" s="54" t="s">
        <v>514</v>
      </c>
      <c r="H4" s="55"/>
      <c r="I4" s="54"/>
      <c r="J4" s="54"/>
      <c r="K4" s="54"/>
      <c r="L4" s="55"/>
    </row>
    <row r="5" spans="1:12" x14ac:dyDescent="0.3">
      <c r="A5" s="125"/>
      <c r="B5" s="125"/>
      <c r="C5" s="70" t="s">
        <v>515</v>
      </c>
      <c r="D5" s="78">
        <v>2</v>
      </c>
      <c r="E5" s="70">
        <v>778</v>
      </c>
      <c r="F5" s="70"/>
      <c r="G5" s="67" t="s">
        <v>516</v>
      </c>
      <c r="H5" s="66"/>
      <c r="I5" s="67"/>
      <c r="J5" s="67"/>
      <c r="K5" s="67"/>
      <c r="L5" s="66"/>
    </row>
    <row r="6" spans="1:12" x14ac:dyDescent="0.3">
      <c r="A6" s="123" t="s">
        <v>517</v>
      </c>
      <c r="B6" s="123" t="s">
        <v>518</v>
      </c>
      <c r="C6" s="50" t="s">
        <v>372</v>
      </c>
      <c r="D6" s="77">
        <v>2</v>
      </c>
      <c r="E6" s="50">
        <v>778</v>
      </c>
      <c r="F6" s="50"/>
      <c r="G6" s="54" t="s">
        <v>519</v>
      </c>
      <c r="H6" s="55"/>
      <c r="I6" s="54"/>
      <c r="J6" s="54"/>
      <c r="K6" s="54"/>
      <c r="L6" s="55"/>
    </row>
    <row r="7" spans="1:12" x14ac:dyDescent="0.3">
      <c r="A7" s="125"/>
      <c r="B7" s="125"/>
      <c r="C7" s="70" t="s">
        <v>520</v>
      </c>
      <c r="D7" s="78">
        <v>2</v>
      </c>
      <c r="E7" s="70">
        <v>285</v>
      </c>
      <c r="F7" s="70"/>
      <c r="G7" s="67" t="s">
        <v>521</v>
      </c>
      <c r="H7" s="66"/>
      <c r="I7" s="67"/>
      <c r="J7" s="67"/>
      <c r="K7" s="67"/>
      <c r="L7" s="66"/>
    </row>
    <row r="8" spans="1:12" x14ac:dyDescent="0.3">
      <c r="A8" s="123" t="s">
        <v>522</v>
      </c>
      <c r="B8" s="123" t="s">
        <v>523</v>
      </c>
      <c r="C8" s="50" t="s">
        <v>524</v>
      </c>
      <c r="D8" s="77">
        <v>2</v>
      </c>
      <c r="E8" s="50">
        <v>117</v>
      </c>
      <c r="F8" s="50"/>
      <c r="G8" s="54" t="s">
        <v>525</v>
      </c>
      <c r="H8" s="55"/>
      <c r="I8" s="54"/>
      <c r="J8" s="54"/>
      <c r="K8" s="54"/>
      <c r="L8" s="55"/>
    </row>
    <row r="9" spans="1:12" x14ac:dyDescent="0.3">
      <c r="A9" s="124"/>
      <c r="B9" s="124"/>
      <c r="C9" s="50" t="s">
        <v>526</v>
      </c>
      <c r="D9" s="50"/>
      <c r="E9" s="50"/>
      <c r="F9" s="50"/>
      <c r="G9" s="54" t="s">
        <v>527</v>
      </c>
      <c r="H9" s="55"/>
      <c r="I9" s="54"/>
      <c r="J9" s="54"/>
      <c r="K9" s="54"/>
      <c r="L9" s="55"/>
    </row>
    <row r="10" spans="1:12" x14ac:dyDescent="0.3">
      <c r="A10" s="124"/>
      <c r="B10" s="124"/>
      <c r="C10" s="50" t="s">
        <v>528</v>
      </c>
      <c r="D10" s="77">
        <v>2</v>
      </c>
      <c r="E10" s="50">
        <v>200</v>
      </c>
      <c r="F10" s="50"/>
      <c r="G10" s="54" t="s">
        <v>529</v>
      </c>
      <c r="H10" s="55"/>
      <c r="I10" s="54"/>
      <c r="J10" s="54"/>
      <c r="K10" s="54"/>
      <c r="L10" s="55"/>
    </row>
    <row r="11" spans="1:12" x14ac:dyDescent="0.3">
      <c r="A11" s="125"/>
      <c r="B11" s="125"/>
      <c r="C11" s="70" t="s">
        <v>530</v>
      </c>
      <c r="D11" s="78">
        <v>2</v>
      </c>
      <c r="E11" s="70"/>
      <c r="F11" s="70"/>
      <c r="G11" s="67" t="s">
        <v>531</v>
      </c>
      <c r="H11" s="66"/>
      <c r="I11" s="67"/>
      <c r="J11" s="67"/>
      <c r="K11" s="67"/>
      <c r="L11" s="66"/>
    </row>
    <row r="12" spans="1:12" x14ac:dyDescent="0.3">
      <c r="A12" s="123" t="s">
        <v>532</v>
      </c>
      <c r="B12" s="126" t="s">
        <v>533</v>
      </c>
      <c r="C12" s="50" t="s">
        <v>534</v>
      </c>
      <c r="D12" s="73">
        <v>1</v>
      </c>
      <c r="E12" s="50">
        <v>210</v>
      </c>
      <c r="F12" s="50"/>
      <c r="G12" s="54" t="s">
        <v>535</v>
      </c>
      <c r="H12" s="55"/>
      <c r="I12" s="79"/>
      <c r="J12" s="54"/>
      <c r="K12" s="54"/>
      <c r="L12" s="55"/>
    </row>
    <row r="13" spans="1:12" x14ac:dyDescent="0.3">
      <c r="A13" s="124"/>
      <c r="B13" s="124"/>
      <c r="C13" s="50" t="s">
        <v>536</v>
      </c>
      <c r="D13" s="77">
        <v>2</v>
      </c>
      <c r="E13" s="50">
        <v>544</v>
      </c>
      <c r="F13" s="50"/>
      <c r="G13" s="54" t="s">
        <v>537</v>
      </c>
      <c r="H13" s="55"/>
      <c r="I13" s="54"/>
      <c r="J13" s="54"/>
      <c r="K13" s="54"/>
      <c r="L13" s="55"/>
    </row>
    <row r="14" spans="1:12" x14ac:dyDescent="0.3">
      <c r="A14" s="125"/>
      <c r="B14" s="125"/>
      <c r="C14" s="70" t="s">
        <v>538</v>
      </c>
      <c r="D14" s="78">
        <v>2</v>
      </c>
      <c r="E14" s="70">
        <v>431</v>
      </c>
      <c r="F14" s="70"/>
      <c r="G14" s="67" t="s">
        <v>539</v>
      </c>
      <c r="H14" s="66"/>
      <c r="I14" s="67"/>
      <c r="J14" s="67"/>
      <c r="K14" s="67"/>
      <c r="L14" s="66"/>
    </row>
  </sheetData>
  <autoFilter ref="C1:L14" xr:uid="{00000000-0009-0000-0000-000009000000}"/>
  <mergeCells count="8">
    <mergeCell ref="A12:A14"/>
    <mergeCell ref="B12:B14"/>
    <mergeCell ref="A2:A5"/>
    <mergeCell ref="B2:B5"/>
    <mergeCell ref="A6:A7"/>
    <mergeCell ref="B6:B7"/>
    <mergeCell ref="A8:A11"/>
    <mergeCell ref="B8:B11"/>
  </mergeCells>
  <conditionalFormatting sqref="C2:C14 E2:G14 D9 I2:K14">
    <cfRule type="expression" dxfId="105" priority="3">
      <formula>$L2="NX-FRAME"</formula>
    </cfRule>
  </conditionalFormatting>
  <conditionalFormatting sqref="C2:C14 E2:G14 D9">
    <cfRule type="expression" dxfId="104" priority="2">
      <formula>$H2="Not Applicable"</formula>
    </cfRule>
  </conditionalFormatting>
  <conditionalFormatting sqref="C2:C14 E2:G14 I2:K14 D9">
    <cfRule type="expression" dxfId="103" priority="1">
      <formula>$L2="OUT OF SCOPE"</formula>
    </cfRule>
    <cfRule type="expression" dxfId="102" priority="4">
      <formula>$L2="APPLICATION"</formula>
    </cfRule>
    <cfRule type="expression" dxfId="101" priority="5">
      <formula>$L2="ENVIRONMENT"</formula>
    </cfRule>
  </conditionalFormatting>
  <conditionalFormatting sqref="H2:H14">
    <cfRule type="expression" dxfId="100" priority="6">
      <formula>_xludf.AND($H2&lt;&gt;"Not Applicable",$H2&lt;&gt;"Not-valid",$H2&lt;&gt;"Valid")</formula>
    </cfRule>
    <cfRule type="expression" dxfId="99" priority="7">
      <formula>$H2="Valid"</formula>
    </cfRule>
    <cfRule type="expression" dxfId="98" priority="8">
      <formula>$H2="Invalid"</formula>
    </cfRule>
    <cfRule type="expression" dxfId="97" priority="9">
      <formula>$H2="Not Applicable"</formula>
    </cfRule>
  </conditionalFormatting>
  <conditionalFormatting sqref="L2:L14">
    <cfRule type="expression" dxfId="96" priority="10">
      <formula>$L2="APPLICATION"</formula>
    </cfRule>
    <cfRule type="expression" dxfId="95" priority="11">
      <formula>$L2="ENVIRONMENT"</formula>
    </cfRule>
    <cfRule type="expression" dxfId="94" priority="12">
      <formula>$L2="NX-FRAME"</formula>
    </cfRule>
    <cfRule type="expression" dxfId="93" priority="13">
      <formula>$L2="OUT OF SCOPE"</formula>
    </cfRule>
  </conditionalFormatting>
  <dataValidations count="2">
    <dataValidation type="list" allowBlank="1" showErrorMessage="1" sqref="L2:L14" xr:uid="{00000000-0002-0000-0900-000000000000}">
      <formula1>"NX-FRAME,APPLICATION,ENVIRONMENT,OUT OF SCOPE"</formula1>
    </dataValidation>
    <dataValidation type="list" allowBlank="1" showErrorMessage="1" sqref="H2:H14" xr:uid="{00000000-0002-0000-09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5.5546875" customWidth="1"/>
    <col min="2" max="2" width="21.33203125" customWidth="1"/>
    <col min="3" max="3" width="7.6640625" customWidth="1"/>
    <col min="4" max="4" width="13.5546875" customWidth="1"/>
    <col min="5" max="5" width="8.109375" customWidth="1"/>
    <col min="6" max="6" width="8" customWidth="1"/>
    <col min="7" max="7" width="68.109375" customWidth="1"/>
    <col min="8" max="8" width="8.44140625" customWidth="1"/>
    <col min="9" max="9" width="24.44140625" customWidth="1"/>
    <col min="10" max="11" width="12.6640625" customWidth="1"/>
    <col min="12" max="12" width="9.332031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540</v>
      </c>
      <c r="B2" s="128" t="s">
        <v>541</v>
      </c>
      <c r="C2" s="50" t="s">
        <v>542</v>
      </c>
      <c r="D2" s="77">
        <v>2</v>
      </c>
      <c r="E2" s="50">
        <v>524</v>
      </c>
      <c r="F2" s="50"/>
      <c r="G2" s="54" t="s">
        <v>543</v>
      </c>
      <c r="H2" s="55"/>
      <c r="I2" s="54"/>
      <c r="J2" s="54"/>
      <c r="K2" s="54"/>
      <c r="L2" s="55"/>
    </row>
    <row r="3" spans="1:12" x14ac:dyDescent="0.3">
      <c r="A3" s="124"/>
      <c r="B3" s="124"/>
      <c r="C3" s="50" t="s">
        <v>544</v>
      </c>
      <c r="D3" s="77">
        <v>2</v>
      </c>
      <c r="E3" s="50">
        <v>524</v>
      </c>
      <c r="F3" s="50"/>
      <c r="G3" s="54" t="s">
        <v>545</v>
      </c>
      <c r="H3" s="55"/>
      <c r="I3" s="54"/>
      <c r="J3" s="54"/>
      <c r="K3" s="54"/>
      <c r="L3" s="55"/>
    </row>
    <row r="4" spans="1:12" x14ac:dyDescent="0.3">
      <c r="A4" s="124"/>
      <c r="B4" s="124"/>
      <c r="C4" s="50" t="s">
        <v>546</v>
      </c>
      <c r="D4" s="77">
        <v>2</v>
      </c>
      <c r="E4" s="50">
        <v>233</v>
      </c>
      <c r="F4" s="50"/>
      <c r="G4" s="54" t="s">
        <v>547</v>
      </c>
      <c r="H4" s="55"/>
      <c r="I4" s="54"/>
      <c r="J4" s="54"/>
      <c r="K4" s="54"/>
      <c r="L4" s="55"/>
    </row>
    <row r="5" spans="1:12" x14ac:dyDescent="0.3">
      <c r="A5" s="124"/>
      <c r="B5" s="124"/>
      <c r="C5" s="50" t="s">
        <v>548</v>
      </c>
      <c r="D5" s="77">
        <v>2</v>
      </c>
      <c r="E5" s="50">
        <v>770</v>
      </c>
      <c r="F5" s="50"/>
      <c r="G5" s="54" t="s">
        <v>549</v>
      </c>
      <c r="H5" s="55"/>
      <c r="I5" s="54"/>
      <c r="J5" s="54"/>
      <c r="K5" s="54"/>
      <c r="L5" s="55"/>
    </row>
    <row r="6" spans="1:12" x14ac:dyDescent="0.3">
      <c r="A6" s="124"/>
      <c r="B6" s="124"/>
      <c r="C6" s="50" t="s">
        <v>550</v>
      </c>
      <c r="D6" s="91">
        <v>3</v>
      </c>
      <c r="E6" s="50">
        <v>19</v>
      </c>
      <c r="F6" s="50"/>
      <c r="G6" s="54" t="s">
        <v>551</v>
      </c>
      <c r="H6" s="55"/>
      <c r="I6" s="54"/>
      <c r="J6" s="54"/>
      <c r="K6" s="54"/>
      <c r="L6" s="55"/>
    </row>
    <row r="7" spans="1:12" x14ac:dyDescent="0.3">
      <c r="A7" s="125"/>
      <c r="B7" s="125"/>
      <c r="C7" s="70" t="s">
        <v>552</v>
      </c>
      <c r="D7" s="92">
        <v>3</v>
      </c>
      <c r="E7" s="70">
        <v>19</v>
      </c>
      <c r="F7" s="70"/>
      <c r="G7" s="67" t="s">
        <v>553</v>
      </c>
      <c r="H7" s="66"/>
      <c r="I7" s="67"/>
      <c r="J7" s="67"/>
      <c r="K7" s="67"/>
      <c r="L7" s="66"/>
    </row>
    <row r="8" spans="1:12" x14ac:dyDescent="0.3">
      <c r="A8" s="123" t="s">
        <v>554</v>
      </c>
      <c r="B8" s="126" t="s">
        <v>555</v>
      </c>
      <c r="C8" s="50" t="s">
        <v>556</v>
      </c>
      <c r="D8" s="73">
        <v>1</v>
      </c>
      <c r="E8" s="50">
        <v>525</v>
      </c>
      <c r="F8" s="50"/>
      <c r="G8" s="54" t="s">
        <v>557</v>
      </c>
      <c r="H8" s="55"/>
      <c r="I8" s="54"/>
      <c r="J8" s="79"/>
      <c r="K8" s="54"/>
      <c r="L8" s="103"/>
    </row>
    <row r="9" spans="1:12" x14ac:dyDescent="0.3">
      <c r="A9" s="124"/>
      <c r="B9" s="124"/>
      <c r="C9" s="50" t="s">
        <v>558</v>
      </c>
      <c r="D9" s="73">
        <v>1</v>
      </c>
      <c r="E9" s="50">
        <v>922</v>
      </c>
      <c r="F9" s="50"/>
      <c r="G9" s="54" t="s">
        <v>559</v>
      </c>
      <c r="H9" s="55"/>
      <c r="I9" s="54"/>
      <c r="J9" s="54"/>
      <c r="K9" s="54"/>
      <c r="L9" s="55"/>
    </row>
    <row r="10" spans="1:12" x14ac:dyDescent="0.3">
      <c r="A10" s="125"/>
      <c r="B10" s="125"/>
      <c r="C10" s="70" t="s">
        <v>560</v>
      </c>
      <c r="D10" s="74">
        <v>1</v>
      </c>
      <c r="E10" s="70">
        <v>922</v>
      </c>
      <c r="F10" s="70"/>
      <c r="G10" s="67" t="s">
        <v>561</v>
      </c>
      <c r="H10" s="66"/>
      <c r="I10" s="84"/>
      <c r="J10" s="67"/>
      <c r="K10" s="67"/>
      <c r="L10" s="66"/>
    </row>
    <row r="11" spans="1:12" x14ac:dyDescent="0.3">
      <c r="A11" s="123" t="s">
        <v>562</v>
      </c>
      <c r="B11" s="126" t="s">
        <v>563</v>
      </c>
      <c r="C11" s="50" t="s">
        <v>564</v>
      </c>
      <c r="D11" s="73">
        <v>1</v>
      </c>
      <c r="E11" s="50">
        <v>319</v>
      </c>
      <c r="F11" s="50"/>
      <c r="G11" s="54" t="s">
        <v>565</v>
      </c>
      <c r="H11" s="55"/>
      <c r="I11" s="96"/>
      <c r="J11" s="54"/>
      <c r="K11" s="54"/>
      <c r="L11" s="55"/>
    </row>
    <row r="12" spans="1:12" x14ac:dyDescent="0.3">
      <c r="A12" s="124"/>
      <c r="B12" s="124"/>
      <c r="C12" s="50" t="s">
        <v>566</v>
      </c>
      <c r="D12" s="73">
        <v>1</v>
      </c>
      <c r="E12" s="50">
        <v>212</v>
      </c>
      <c r="F12" s="50"/>
      <c r="G12" s="54" t="s">
        <v>567</v>
      </c>
      <c r="H12" s="55"/>
      <c r="I12" s="54"/>
      <c r="J12" s="54"/>
      <c r="K12" s="54"/>
      <c r="L12" s="55"/>
    </row>
    <row r="13" spans="1:12" x14ac:dyDescent="0.3">
      <c r="A13" s="124"/>
      <c r="B13" s="124"/>
      <c r="C13" s="50" t="s">
        <v>568</v>
      </c>
      <c r="D13" s="73">
        <v>1</v>
      </c>
      <c r="E13" s="50">
        <v>285</v>
      </c>
      <c r="F13" s="50"/>
      <c r="G13" s="54" t="s">
        <v>569</v>
      </c>
      <c r="H13" s="55"/>
      <c r="I13" s="54"/>
      <c r="J13" s="54"/>
      <c r="K13" s="54"/>
      <c r="L13" s="55"/>
    </row>
    <row r="14" spans="1:12" x14ac:dyDescent="0.3">
      <c r="A14" s="124"/>
      <c r="B14" s="124"/>
      <c r="C14" s="50" t="s">
        <v>570</v>
      </c>
      <c r="D14" s="73">
        <v>1</v>
      </c>
      <c r="E14" s="50">
        <v>200</v>
      </c>
      <c r="F14" s="50"/>
      <c r="G14" s="54" t="s">
        <v>571</v>
      </c>
      <c r="H14" s="55"/>
      <c r="I14" s="54"/>
      <c r="J14" s="54"/>
      <c r="K14" s="54"/>
      <c r="L14" s="55"/>
    </row>
    <row r="15" spans="1:12" x14ac:dyDescent="0.3">
      <c r="A15" s="124"/>
      <c r="B15" s="124"/>
      <c r="C15" s="50" t="s">
        <v>572</v>
      </c>
      <c r="D15" s="77">
        <v>2</v>
      </c>
      <c r="E15" s="50">
        <v>532</v>
      </c>
      <c r="F15" s="50"/>
      <c r="G15" s="54" t="s">
        <v>573</v>
      </c>
      <c r="H15" s="55"/>
      <c r="I15" s="54"/>
      <c r="J15" s="54"/>
      <c r="K15" s="54"/>
      <c r="L15" s="55"/>
    </row>
    <row r="16" spans="1:12" x14ac:dyDescent="0.3">
      <c r="A16" s="124"/>
      <c r="B16" s="124"/>
      <c r="C16" s="50" t="s">
        <v>574</v>
      </c>
      <c r="D16" s="77">
        <v>2</v>
      </c>
      <c r="E16" s="50">
        <v>226</v>
      </c>
      <c r="F16" s="50"/>
      <c r="G16" s="54" t="s">
        <v>575</v>
      </c>
      <c r="H16" s="55"/>
      <c r="I16" s="54"/>
      <c r="J16" s="54"/>
      <c r="K16" s="54"/>
      <c r="L16" s="55"/>
    </row>
    <row r="17" spans="1:12" x14ac:dyDescent="0.3">
      <c r="A17" s="124"/>
      <c r="B17" s="124"/>
      <c r="C17" s="50" t="s">
        <v>576</v>
      </c>
      <c r="D17" s="77">
        <v>2</v>
      </c>
      <c r="E17" s="50">
        <v>327</v>
      </c>
      <c r="F17" s="50"/>
      <c r="G17" s="54" t="s">
        <v>577</v>
      </c>
      <c r="H17" s="55"/>
      <c r="I17" s="54"/>
      <c r="J17" s="54"/>
      <c r="K17" s="54"/>
      <c r="L17" s="55"/>
    </row>
    <row r="18" spans="1:12" x14ac:dyDescent="0.3">
      <c r="A18" s="125"/>
      <c r="B18" s="125"/>
      <c r="C18" s="70" t="s">
        <v>578</v>
      </c>
      <c r="D18" s="78">
        <v>2</v>
      </c>
      <c r="E18" s="70">
        <v>285</v>
      </c>
      <c r="F18" s="70"/>
      <c r="G18" s="67" t="s">
        <v>579</v>
      </c>
      <c r="H18" s="66"/>
      <c r="I18" s="67"/>
      <c r="J18" s="67"/>
      <c r="K18" s="67"/>
      <c r="L18" s="66"/>
    </row>
  </sheetData>
  <autoFilter ref="C1:L18" xr:uid="{00000000-0009-0000-0000-00000A000000}"/>
  <mergeCells count="6">
    <mergeCell ref="A2:A7"/>
    <mergeCell ref="B2:B7"/>
    <mergeCell ref="A8:A10"/>
    <mergeCell ref="B8:B10"/>
    <mergeCell ref="A11:A18"/>
    <mergeCell ref="B11:B18"/>
  </mergeCells>
  <conditionalFormatting sqref="C2:C18 E2:G18 I2:K18">
    <cfRule type="expression" dxfId="92" priority="1">
      <formula>$L2="OUT OF SCOPE"</formula>
    </cfRule>
    <cfRule type="expression" dxfId="91" priority="2">
      <formula>$L2="NX-FRAME"</formula>
    </cfRule>
    <cfRule type="expression" dxfId="90" priority="3">
      <formula>$L2="APPLICATION"</formula>
    </cfRule>
    <cfRule type="expression" dxfId="89" priority="4">
      <formula>$L2="ENVIRONMENT"</formula>
    </cfRule>
  </conditionalFormatting>
  <conditionalFormatting sqref="C2:C18 E2:G18">
    <cfRule type="expression" dxfId="88" priority="5">
      <formula>$H2="Not Applicable"</formula>
    </cfRule>
  </conditionalFormatting>
  <conditionalFormatting sqref="H2:H18">
    <cfRule type="expression" dxfId="87" priority="6">
      <formula>_xludf.AND($H2&lt;&gt;"Not Applicable",$H2&lt;&gt;"Not-valid",$H2&lt;&gt;"Valid")</formula>
    </cfRule>
    <cfRule type="expression" dxfId="86" priority="7">
      <formula>$H2="Valid"</formula>
    </cfRule>
    <cfRule type="expression" dxfId="85" priority="8">
      <formula>$H2="Invalid"</formula>
    </cfRule>
    <cfRule type="expression" dxfId="84" priority="9">
      <formula>$H2="Not Applicable"</formula>
    </cfRule>
  </conditionalFormatting>
  <conditionalFormatting sqref="L2:L18">
    <cfRule type="expression" dxfId="83" priority="10">
      <formula>$L2="APPLICATION"</formula>
    </cfRule>
    <cfRule type="expression" dxfId="82" priority="11">
      <formula>$L2="ENVIRONMENT"</formula>
    </cfRule>
    <cfRule type="expression" dxfId="81" priority="12">
      <formula>$L2="NX-FRAME"</formula>
    </cfRule>
    <cfRule type="expression" dxfId="80" priority="13">
      <formula>$L2="OUT OF SCOPE"</formula>
    </cfRule>
  </conditionalFormatting>
  <dataValidations count="2">
    <dataValidation type="list" allowBlank="1" showErrorMessage="1" sqref="L2:L18" xr:uid="{00000000-0002-0000-0A00-000000000000}">
      <formula1>"NX-FRAME,APPLICATION,ENVIRONMENT,OUT OF SCOPE"</formula1>
    </dataValidation>
    <dataValidation type="list" allowBlank="1" showErrorMessage="1" sqref="H2:H18" xr:uid="{00000000-0002-0000-0A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5.5546875" customWidth="1"/>
    <col min="2" max="2" width="23.6640625" customWidth="1"/>
    <col min="3" max="3" width="5.44140625" customWidth="1"/>
    <col min="4" max="4" width="13.5546875" customWidth="1"/>
    <col min="5" max="5" width="8.109375" customWidth="1"/>
    <col min="6" max="6" width="8" customWidth="1"/>
    <col min="7" max="7" width="73.33203125" customWidth="1"/>
    <col min="8" max="8" width="8.44140625" customWidth="1"/>
    <col min="9" max="9" width="24.44140625" customWidth="1"/>
    <col min="10" max="11" width="12.6640625" customWidth="1"/>
    <col min="12" max="12" width="9.332031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580</v>
      </c>
      <c r="B2" s="127" t="s">
        <v>581</v>
      </c>
      <c r="C2" s="50" t="s">
        <v>582</v>
      </c>
      <c r="D2" s="73">
        <v>1</v>
      </c>
      <c r="E2" s="50">
        <v>319</v>
      </c>
      <c r="F2" s="50"/>
      <c r="G2" s="54" t="s">
        <v>583</v>
      </c>
      <c r="H2" s="55"/>
      <c r="I2" s="54"/>
      <c r="J2" s="54"/>
      <c r="K2" s="54"/>
      <c r="L2" s="55"/>
    </row>
    <row r="3" spans="1:12" x14ac:dyDescent="0.3">
      <c r="A3" s="124"/>
      <c r="B3" s="124"/>
      <c r="C3" s="50" t="s">
        <v>584</v>
      </c>
      <c r="D3" s="73">
        <v>1</v>
      </c>
      <c r="E3" s="50">
        <v>326</v>
      </c>
      <c r="F3" s="50"/>
      <c r="G3" s="54" t="s">
        <v>585</v>
      </c>
      <c r="H3" s="55"/>
      <c r="I3" s="54"/>
      <c r="J3" s="54"/>
      <c r="K3" s="54"/>
      <c r="L3" s="55"/>
    </row>
    <row r="4" spans="1:12" x14ac:dyDescent="0.3">
      <c r="A4" s="125"/>
      <c r="B4" s="125"/>
      <c r="C4" s="70" t="s">
        <v>586</v>
      </c>
      <c r="D4" s="74">
        <v>1</v>
      </c>
      <c r="E4" s="70">
        <v>326</v>
      </c>
      <c r="F4" s="70"/>
      <c r="G4" s="67" t="s">
        <v>587</v>
      </c>
      <c r="H4" s="66"/>
      <c r="I4" s="67"/>
      <c r="J4" s="67"/>
      <c r="K4" s="67"/>
      <c r="L4" s="66"/>
    </row>
    <row r="5" spans="1:12" x14ac:dyDescent="0.3">
      <c r="A5" s="123" t="s">
        <v>588</v>
      </c>
      <c r="B5" s="123" t="s">
        <v>589</v>
      </c>
      <c r="C5" s="50" t="s">
        <v>590</v>
      </c>
      <c r="D5" s="77">
        <v>2</v>
      </c>
      <c r="E5" s="50">
        <v>295</v>
      </c>
      <c r="F5" s="50"/>
      <c r="G5" s="54" t="s">
        <v>591</v>
      </c>
      <c r="H5" s="55"/>
      <c r="I5" s="54"/>
      <c r="J5" s="54"/>
      <c r="K5" s="54"/>
      <c r="L5" s="55"/>
    </row>
    <row r="6" spans="1:12" x14ac:dyDescent="0.3">
      <c r="A6" s="124"/>
      <c r="B6" s="124"/>
      <c r="C6" s="50" t="s">
        <v>592</v>
      </c>
      <c r="D6" s="77">
        <v>2</v>
      </c>
      <c r="E6" s="50">
        <v>319</v>
      </c>
      <c r="F6" s="50"/>
      <c r="G6" s="54" t="s">
        <v>593</v>
      </c>
      <c r="H6" s="55"/>
      <c r="I6" s="54"/>
      <c r="J6" s="54"/>
      <c r="K6" s="54"/>
      <c r="L6" s="55"/>
    </row>
    <row r="7" spans="1:12" x14ac:dyDescent="0.3">
      <c r="A7" s="124"/>
      <c r="B7" s="124"/>
      <c r="C7" s="50" t="s">
        <v>594</v>
      </c>
      <c r="D7" s="77">
        <v>2</v>
      </c>
      <c r="E7" s="50">
        <v>287</v>
      </c>
      <c r="F7" s="50"/>
      <c r="G7" s="54" t="s">
        <v>595</v>
      </c>
      <c r="H7" s="55"/>
      <c r="I7" s="54"/>
      <c r="J7" s="54"/>
      <c r="K7" s="54"/>
      <c r="L7" s="55"/>
    </row>
    <row r="8" spans="1:12" x14ac:dyDescent="0.3">
      <c r="A8" s="124"/>
      <c r="B8" s="124"/>
      <c r="C8" s="50" t="s">
        <v>596</v>
      </c>
      <c r="D8" s="77">
        <v>2</v>
      </c>
      <c r="E8" s="50">
        <v>299</v>
      </c>
      <c r="F8" s="50"/>
      <c r="G8" s="54" t="s">
        <v>597</v>
      </c>
      <c r="H8" s="55"/>
      <c r="I8" s="54"/>
      <c r="J8" s="54"/>
      <c r="K8" s="54"/>
      <c r="L8" s="55"/>
    </row>
    <row r="9" spans="1:12" x14ac:dyDescent="0.3">
      <c r="A9" s="112"/>
      <c r="B9" s="112"/>
      <c r="C9" s="50" t="s">
        <v>598</v>
      </c>
      <c r="D9" s="91">
        <v>3</v>
      </c>
      <c r="E9" s="50">
        <v>544</v>
      </c>
      <c r="F9" s="50"/>
      <c r="G9" s="54" t="s">
        <v>599</v>
      </c>
      <c r="H9" s="55"/>
      <c r="I9" s="54"/>
      <c r="J9" s="54"/>
      <c r="K9" s="54"/>
      <c r="L9" s="55"/>
    </row>
  </sheetData>
  <autoFilter ref="C1:L9" xr:uid="{00000000-0009-0000-0000-00000B000000}"/>
  <mergeCells count="4">
    <mergeCell ref="A2:A4"/>
    <mergeCell ref="B2:B4"/>
    <mergeCell ref="A5:A9"/>
    <mergeCell ref="B5:B9"/>
  </mergeCells>
  <conditionalFormatting sqref="C2:C9 E2:G9 I2:K9">
    <cfRule type="expression" dxfId="79" priority="1">
      <formula>$L2="OUT OF SCOPE"</formula>
    </cfRule>
    <cfRule type="expression" dxfId="78" priority="2">
      <formula>$L2="NX-FRAME"</formula>
    </cfRule>
    <cfRule type="expression" dxfId="77" priority="3">
      <formula>$L2="APPLICATION"</formula>
    </cfRule>
    <cfRule type="expression" dxfId="76" priority="4">
      <formula>$L2="ENVIRONMENT"</formula>
    </cfRule>
  </conditionalFormatting>
  <conditionalFormatting sqref="C2:C9 E2:G9">
    <cfRule type="expression" dxfId="75" priority="5">
      <formula>$H2="Not Applicable"</formula>
    </cfRule>
  </conditionalFormatting>
  <conditionalFormatting sqref="H2:H9">
    <cfRule type="expression" dxfId="74" priority="6">
      <formula>_xludf.AND($H2&lt;&gt;"Not Applicable",$H2&lt;&gt;"Not-valid",$H2&lt;&gt;"Valid")</formula>
    </cfRule>
    <cfRule type="expression" dxfId="73" priority="7">
      <formula>$H2="Valid"</formula>
    </cfRule>
    <cfRule type="expression" dxfId="72" priority="8">
      <formula>$H2="Invalid"</formula>
    </cfRule>
    <cfRule type="expression" dxfId="71" priority="9">
      <formula>$H2="Not Applicable"</formula>
    </cfRule>
  </conditionalFormatting>
  <conditionalFormatting sqref="L2:L9">
    <cfRule type="expression" dxfId="70" priority="10">
      <formula>$L2="APPLICATION"</formula>
    </cfRule>
    <cfRule type="expression" dxfId="69" priority="11">
      <formula>$L2="ENVIRONMENT"</formula>
    </cfRule>
    <cfRule type="expression" dxfId="68" priority="12">
      <formula>$L2="NX-FRAME"</formula>
    </cfRule>
    <cfRule type="expression" dxfId="67" priority="13">
      <formula>$L2="OUT OF SCOPE"</formula>
    </cfRule>
  </conditionalFormatting>
  <dataValidations count="2">
    <dataValidation type="list" allowBlank="1" showErrorMessage="1" sqref="L2:L9" xr:uid="{00000000-0002-0000-0B00-000000000000}">
      <formula1>"NX-FRAME,APPLICATION,ENVIRONMENT,OUT OF SCOPE"</formula1>
    </dataValidation>
    <dataValidation type="list" allowBlank="1" showErrorMessage="1" sqref="H2:H9" xr:uid="{00000000-0002-0000-0B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6.5546875" customWidth="1"/>
    <col min="2" max="2" width="21.5546875" customWidth="1"/>
    <col min="3" max="3" width="6.5546875" customWidth="1"/>
    <col min="4" max="4" width="13.5546875" customWidth="1"/>
    <col min="5" max="5" width="8.109375" customWidth="1"/>
    <col min="6" max="6" width="8" customWidth="1"/>
    <col min="7" max="7" width="72.109375" customWidth="1"/>
    <col min="8" max="8" width="8.44140625" customWidth="1"/>
    <col min="9" max="9" width="24.44140625" customWidth="1"/>
    <col min="10" max="11" width="12.6640625" customWidth="1"/>
    <col min="12" max="12" width="9.332031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83" t="s">
        <v>600</v>
      </c>
      <c r="B2" s="83" t="s">
        <v>601</v>
      </c>
      <c r="C2" s="70" t="s">
        <v>602</v>
      </c>
      <c r="D2" s="92">
        <v>3</v>
      </c>
      <c r="E2" s="70">
        <v>749</v>
      </c>
      <c r="F2" s="70"/>
      <c r="G2" s="67" t="s">
        <v>603</v>
      </c>
      <c r="H2" s="66"/>
      <c r="I2" s="67"/>
      <c r="J2" s="67"/>
      <c r="K2" s="67"/>
      <c r="L2" s="66"/>
    </row>
    <row r="3" spans="1:12" x14ac:dyDescent="0.3">
      <c r="A3" s="123" t="s">
        <v>604</v>
      </c>
      <c r="B3" s="126" t="s">
        <v>605</v>
      </c>
      <c r="C3" s="50" t="s">
        <v>606</v>
      </c>
      <c r="D3" s="77">
        <v>2</v>
      </c>
      <c r="E3" s="50">
        <v>359</v>
      </c>
      <c r="F3" s="50"/>
      <c r="G3" s="54" t="s">
        <v>607</v>
      </c>
      <c r="H3" s="55"/>
      <c r="I3" s="54"/>
      <c r="J3" s="54"/>
      <c r="K3" s="54"/>
      <c r="L3" s="55"/>
    </row>
    <row r="4" spans="1:12" x14ac:dyDescent="0.3">
      <c r="A4" s="124"/>
      <c r="B4" s="124"/>
      <c r="C4" s="50" t="s">
        <v>608</v>
      </c>
      <c r="D4" s="77">
        <v>2</v>
      </c>
      <c r="E4" s="50">
        <v>272</v>
      </c>
      <c r="F4" s="50"/>
      <c r="G4" s="54" t="s">
        <v>609</v>
      </c>
      <c r="H4" s="55"/>
      <c r="I4" s="54"/>
      <c r="J4" s="54"/>
      <c r="K4" s="54"/>
      <c r="L4" s="55"/>
    </row>
    <row r="5" spans="1:12" x14ac:dyDescent="0.3">
      <c r="A5" s="124"/>
      <c r="B5" s="124"/>
      <c r="C5" s="50" t="s">
        <v>610</v>
      </c>
      <c r="D5" s="91">
        <v>3</v>
      </c>
      <c r="E5" s="50">
        <v>507</v>
      </c>
      <c r="F5" s="50"/>
      <c r="G5" s="54" t="s">
        <v>611</v>
      </c>
      <c r="H5" s="55"/>
      <c r="I5" s="54"/>
      <c r="J5" s="54"/>
      <c r="K5" s="54"/>
      <c r="L5" s="55"/>
    </row>
    <row r="6" spans="1:12" x14ac:dyDescent="0.3">
      <c r="A6" s="124"/>
      <c r="B6" s="124"/>
      <c r="C6" s="50" t="s">
        <v>612</v>
      </c>
      <c r="D6" s="91">
        <v>3</v>
      </c>
      <c r="E6" s="50">
        <v>511</v>
      </c>
      <c r="F6" s="50"/>
      <c r="G6" s="54" t="s">
        <v>613</v>
      </c>
      <c r="H6" s="55"/>
      <c r="I6" s="54"/>
      <c r="J6" s="54"/>
      <c r="K6" s="54"/>
      <c r="L6" s="55"/>
    </row>
    <row r="7" spans="1:12" x14ac:dyDescent="0.3">
      <c r="A7" s="124"/>
      <c r="B7" s="124"/>
      <c r="C7" s="50" t="s">
        <v>614</v>
      </c>
      <c r="D7" s="91">
        <v>3</v>
      </c>
      <c r="E7" s="50">
        <v>511</v>
      </c>
      <c r="F7" s="50"/>
      <c r="G7" s="54" t="s">
        <v>615</v>
      </c>
      <c r="H7" s="55"/>
      <c r="I7" s="54"/>
      <c r="J7" s="54"/>
      <c r="K7" s="54"/>
      <c r="L7" s="55"/>
    </row>
    <row r="8" spans="1:12" x14ac:dyDescent="0.3">
      <c r="A8" s="125"/>
      <c r="B8" s="125"/>
      <c r="C8" s="70" t="s">
        <v>616</v>
      </c>
      <c r="D8" s="92">
        <v>3</v>
      </c>
      <c r="E8" s="70">
        <v>507</v>
      </c>
      <c r="F8" s="70"/>
      <c r="G8" s="67" t="s">
        <v>617</v>
      </c>
      <c r="H8" s="66"/>
      <c r="I8" s="67"/>
      <c r="J8" s="67"/>
      <c r="K8" s="67"/>
      <c r="L8" s="66"/>
    </row>
    <row r="9" spans="1:12" x14ac:dyDescent="0.3">
      <c r="A9" s="123" t="s">
        <v>618</v>
      </c>
      <c r="B9" s="123" t="s">
        <v>619</v>
      </c>
      <c r="C9" s="50" t="s">
        <v>620</v>
      </c>
      <c r="D9" s="73">
        <v>1</v>
      </c>
      <c r="E9" s="50">
        <v>16</v>
      </c>
      <c r="F9" s="50"/>
      <c r="G9" s="54" t="s">
        <v>621</v>
      </c>
      <c r="H9" s="55"/>
      <c r="I9" s="54"/>
      <c r="J9" s="79"/>
      <c r="K9" s="54"/>
      <c r="L9" s="55"/>
    </row>
    <row r="10" spans="1:12" x14ac:dyDescent="0.3">
      <c r="A10" s="124"/>
      <c r="B10" s="124"/>
      <c r="C10" s="50" t="s">
        <v>622</v>
      </c>
      <c r="D10" s="73">
        <v>1</v>
      </c>
      <c r="E10" s="50">
        <v>353</v>
      </c>
      <c r="F10" s="50"/>
      <c r="G10" s="54" t="s">
        <v>623</v>
      </c>
      <c r="H10" s="55"/>
      <c r="I10" s="54"/>
      <c r="J10" s="79"/>
      <c r="K10" s="54"/>
      <c r="L10" s="55"/>
    </row>
    <row r="11" spans="1:12" x14ac:dyDescent="0.3">
      <c r="A11" s="125"/>
      <c r="B11" s="125"/>
      <c r="C11" s="70" t="s">
        <v>624</v>
      </c>
      <c r="D11" s="74">
        <v>1</v>
      </c>
      <c r="E11" s="70">
        <v>350</v>
      </c>
      <c r="F11" s="70"/>
      <c r="G11" s="67" t="s">
        <v>625</v>
      </c>
      <c r="H11" s="66"/>
      <c r="I11" s="67"/>
      <c r="J11" s="67"/>
      <c r="K11" s="67"/>
      <c r="L11" s="66"/>
    </row>
  </sheetData>
  <autoFilter ref="C1:L11" xr:uid="{00000000-0009-0000-0000-00000C000000}"/>
  <mergeCells count="4">
    <mergeCell ref="A3:A8"/>
    <mergeCell ref="B3:B8"/>
    <mergeCell ref="A9:A11"/>
    <mergeCell ref="B9:B11"/>
  </mergeCells>
  <conditionalFormatting sqref="C2:C11 E2:G11 I2:K11">
    <cfRule type="expression" dxfId="66" priority="1">
      <formula>$L2="OUT OF SCOPE"</formula>
    </cfRule>
    <cfRule type="expression" dxfId="65" priority="2">
      <formula>$L2="NX-FRAME"</formula>
    </cfRule>
    <cfRule type="expression" dxfId="64" priority="3">
      <formula>$L2="APPLICATION"</formula>
    </cfRule>
    <cfRule type="expression" dxfId="63" priority="4">
      <formula>$L2="ENVIRONMENT"</formula>
    </cfRule>
  </conditionalFormatting>
  <conditionalFormatting sqref="C2:C11 E2:G11">
    <cfRule type="expression" dxfId="62" priority="5">
      <formula>$H2="Not Applicable"</formula>
    </cfRule>
  </conditionalFormatting>
  <conditionalFormatting sqref="H2:H11">
    <cfRule type="expression" dxfId="61" priority="6">
      <formula>_xludf.AND($H2&lt;&gt;"Not Applicable",$H2&lt;&gt;"Not-valid",$H2&lt;&gt;"Valid")</formula>
    </cfRule>
    <cfRule type="expression" dxfId="60" priority="7">
      <formula>$H2="Valid"</formula>
    </cfRule>
    <cfRule type="expression" dxfId="59" priority="8">
      <formula>$H2="Invalid"</formula>
    </cfRule>
    <cfRule type="expression" dxfId="58" priority="9">
      <formula>$H2="Not Applicable"</formula>
    </cfRule>
  </conditionalFormatting>
  <conditionalFormatting sqref="L2:L11">
    <cfRule type="expression" dxfId="57" priority="10">
      <formula>$L2="APPLICATION"</formula>
    </cfRule>
    <cfRule type="expression" dxfId="56" priority="11">
      <formula>$L2="ENVIRONMENT"</formula>
    </cfRule>
    <cfRule type="expression" dxfId="55" priority="12">
      <formula>$L2="NX-FRAME"</formula>
    </cfRule>
    <cfRule type="expression" dxfId="54" priority="13">
      <formula>$L2="OUT OF SCOPE"</formula>
    </cfRule>
  </conditionalFormatting>
  <dataValidations count="2">
    <dataValidation type="list" allowBlank="1" showErrorMessage="1" sqref="L2:L11" xr:uid="{00000000-0002-0000-0C00-000000000000}">
      <formula1>"NX-FRAME,APPLICATION,ENVIRONMENT,OUT OF SCOPE"</formula1>
    </dataValidation>
    <dataValidation type="list" allowBlank="1" showErrorMessage="1" sqref="H2:H11" xr:uid="{00000000-0002-0000-0C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6.5546875" customWidth="1"/>
    <col min="2" max="2" width="21.44140625" customWidth="1"/>
    <col min="3" max="3" width="6.5546875" customWidth="1"/>
    <col min="4" max="4" width="13.5546875" customWidth="1"/>
    <col min="5" max="5" width="8.109375" customWidth="1"/>
    <col min="6" max="6" width="8" customWidth="1"/>
    <col min="7" max="7" width="71.5546875" customWidth="1"/>
    <col min="8" max="8" width="8.44140625" customWidth="1"/>
    <col min="9" max="9" width="24.44140625" customWidth="1"/>
    <col min="10" max="11" width="12.6640625" customWidth="1"/>
    <col min="12" max="12" width="9.332031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626</v>
      </c>
      <c r="B2" s="127" t="s">
        <v>627</v>
      </c>
      <c r="C2" s="50" t="s">
        <v>628</v>
      </c>
      <c r="D2" s="73">
        <v>1</v>
      </c>
      <c r="E2" s="50">
        <v>841</v>
      </c>
      <c r="F2" s="50"/>
      <c r="G2" s="54" t="s">
        <v>629</v>
      </c>
      <c r="H2" s="55"/>
      <c r="I2" s="54"/>
      <c r="J2" s="104"/>
      <c r="K2" s="54"/>
      <c r="L2" s="55"/>
    </row>
    <row r="3" spans="1:12" x14ac:dyDescent="0.3">
      <c r="A3" s="124"/>
      <c r="B3" s="124"/>
      <c r="C3" s="50" t="s">
        <v>630</v>
      </c>
      <c r="D3" s="73">
        <v>1</v>
      </c>
      <c r="E3" s="50">
        <v>799</v>
      </c>
      <c r="F3" s="50"/>
      <c r="G3" s="54" t="s">
        <v>631</v>
      </c>
      <c r="H3" s="55"/>
      <c r="I3" s="54"/>
      <c r="J3" s="54"/>
      <c r="K3" s="54"/>
      <c r="L3" s="55"/>
    </row>
    <row r="4" spans="1:12" x14ac:dyDescent="0.3">
      <c r="A4" s="124"/>
      <c r="B4" s="124"/>
      <c r="C4" s="50" t="s">
        <v>632</v>
      </c>
      <c r="D4" s="73">
        <v>1</v>
      </c>
      <c r="E4" s="50">
        <v>770</v>
      </c>
      <c r="F4" s="50"/>
      <c r="G4" s="54" t="s">
        <v>633</v>
      </c>
      <c r="H4" s="55"/>
      <c r="I4" s="54"/>
      <c r="J4" s="54"/>
      <c r="K4" s="54"/>
      <c r="L4" s="55"/>
    </row>
    <row r="5" spans="1:12" x14ac:dyDescent="0.3">
      <c r="A5" s="124"/>
      <c r="B5" s="124"/>
      <c r="C5" s="50" t="s">
        <v>634</v>
      </c>
      <c r="D5" s="73">
        <v>1</v>
      </c>
      <c r="E5" s="50">
        <v>770</v>
      </c>
      <c r="F5" s="50"/>
      <c r="G5" s="54" t="s">
        <v>635</v>
      </c>
      <c r="H5" s="55"/>
      <c r="I5" s="54"/>
      <c r="J5" s="54"/>
      <c r="K5" s="54"/>
      <c r="L5" s="55"/>
    </row>
    <row r="6" spans="1:12" x14ac:dyDescent="0.3">
      <c r="A6" s="124"/>
      <c r="B6" s="124"/>
      <c r="C6" s="50" t="s">
        <v>636</v>
      </c>
      <c r="D6" s="73">
        <v>1</v>
      </c>
      <c r="E6" s="50">
        <v>841</v>
      </c>
      <c r="F6" s="50"/>
      <c r="G6" s="54" t="s">
        <v>637</v>
      </c>
      <c r="H6" s="55"/>
      <c r="I6" s="54"/>
      <c r="J6" s="54"/>
      <c r="K6" s="54"/>
      <c r="L6" s="55"/>
    </row>
    <row r="7" spans="1:12" x14ac:dyDescent="0.3">
      <c r="A7" s="124"/>
      <c r="B7" s="124"/>
      <c r="C7" s="50" t="s">
        <v>638</v>
      </c>
      <c r="D7" s="77">
        <v>2</v>
      </c>
      <c r="E7" s="50">
        <v>367</v>
      </c>
      <c r="F7" s="50"/>
      <c r="G7" s="54" t="s">
        <v>639</v>
      </c>
      <c r="H7" s="55"/>
      <c r="I7" s="54"/>
      <c r="J7" s="54"/>
      <c r="K7" s="54"/>
      <c r="L7" s="55"/>
    </row>
    <row r="8" spans="1:12" x14ac:dyDescent="0.3">
      <c r="A8" s="124"/>
      <c r="B8" s="124"/>
      <c r="C8" s="50" t="s">
        <v>640</v>
      </c>
      <c r="D8" s="77">
        <v>2</v>
      </c>
      <c r="E8" s="50">
        <v>754</v>
      </c>
      <c r="F8" s="50"/>
      <c r="G8" s="54" t="s">
        <v>641</v>
      </c>
      <c r="H8" s="55"/>
      <c r="I8" s="54"/>
      <c r="J8" s="54"/>
      <c r="K8" s="54"/>
      <c r="L8" s="55"/>
    </row>
    <row r="9" spans="1:12" x14ac:dyDescent="0.3">
      <c r="A9" s="112"/>
      <c r="B9" s="112"/>
      <c r="C9" s="50" t="s">
        <v>642</v>
      </c>
      <c r="D9" s="77">
        <v>2</v>
      </c>
      <c r="E9" s="50">
        <v>390</v>
      </c>
      <c r="F9" s="50"/>
      <c r="G9" s="54" t="s">
        <v>643</v>
      </c>
      <c r="H9" s="55"/>
      <c r="I9" s="54"/>
      <c r="J9" s="54"/>
      <c r="K9" s="54"/>
      <c r="L9" s="55"/>
    </row>
  </sheetData>
  <autoFilter ref="C1:L9" xr:uid="{00000000-0009-0000-0000-00000D000000}"/>
  <mergeCells count="2">
    <mergeCell ref="A2:A9"/>
    <mergeCell ref="B2:B9"/>
  </mergeCells>
  <conditionalFormatting sqref="C2:C9 E2:G9 I2:K9">
    <cfRule type="expression" dxfId="53" priority="1">
      <formula>$L2="OUT OF SCOPE"</formula>
    </cfRule>
    <cfRule type="expression" dxfId="52" priority="2">
      <formula>$L2="NX-FRAME"</formula>
    </cfRule>
    <cfRule type="expression" dxfId="51" priority="3">
      <formula>$L2="APPLICATION"</formula>
    </cfRule>
    <cfRule type="expression" dxfId="50" priority="4">
      <formula>$L2="ENVIRONMENT"</formula>
    </cfRule>
  </conditionalFormatting>
  <conditionalFormatting sqref="C2:C9 E2:G9">
    <cfRule type="expression" dxfId="49" priority="5">
      <formula>$H2="Not Applicable"</formula>
    </cfRule>
  </conditionalFormatting>
  <conditionalFormatting sqref="H2:H9">
    <cfRule type="expression" dxfId="48" priority="6">
      <formula>_xludf.AND($H2&lt;&gt;"Not Applicable",$H2&lt;&gt;"Not-valid",$H2&lt;&gt;"Valid")</formula>
    </cfRule>
    <cfRule type="expression" dxfId="47" priority="7">
      <formula>$H2="Valid"</formula>
    </cfRule>
    <cfRule type="expression" dxfId="46" priority="8">
      <formula>$H2="Invalid"</formula>
    </cfRule>
    <cfRule type="expression" dxfId="45" priority="9">
      <formula>$H2="Not Applicable"</formula>
    </cfRule>
  </conditionalFormatting>
  <conditionalFormatting sqref="L2:L9">
    <cfRule type="expression" dxfId="44" priority="10">
      <formula>$L2="APPLICATION"</formula>
    </cfRule>
    <cfRule type="expression" dxfId="43" priority="11">
      <formula>$L2="ENVIRONMENT"</formula>
    </cfRule>
    <cfRule type="expression" dxfId="42" priority="12">
      <formula>$L2="NX-FRAME"</formula>
    </cfRule>
    <cfRule type="expression" dxfId="41" priority="13">
      <formula>$L2="OUT OF SCOPE"</formula>
    </cfRule>
  </conditionalFormatting>
  <dataValidations count="2">
    <dataValidation type="list" allowBlank="1" showErrorMessage="1" sqref="L2:L9" xr:uid="{00000000-0002-0000-0D00-000000000000}">
      <formula1>"NX-FRAME,APPLICATION,ENVIRONMENT,OUT OF SCOPE"</formula1>
    </dataValidation>
    <dataValidation type="list" allowBlank="1" showErrorMessage="1" sqref="H2:H9" xr:uid="{00000000-0002-0000-0D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6.5546875" customWidth="1"/>
    <col min="2" max="2" width="16.6640625" customWidth="1"/>
    <col min="3" max="3" width="6.5546875" customWidth="1"/>
    <col min="4" max="4" width="10.6640625" customWidth="1"/>
    <col min="5" max="5" width="5.33203125" customWidth="1"/>
    <col min="6" max="6" width="5.109375" customWidth="1"/>
    <col min="7" max="7" width="75.5546875" customWidth="1"/>
    <col min="8" max="8" width="5.5546875" customWidth="1"/>
    <col min="9" max="9" width="21.5546875" customWidth="1"/>
    <col min="10" max="11" width="9.88671875" customWidth="1"/>
    <col min="12" max="12" width="6.441406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644</v>
      </c>
      <c r="B2" s="127" t="s">
        <v>645</v>
      </c>
      <c r="C2" s="50" t="s">
        <v>646</v>
      </c>
      <c r="D2" s="73">
        <v>1</v>
      </c>
      <c r="E2" s="50">
        <v>400</v>
      </c>
      <c r="F2" s="50"/>
      <c r="G2" s="54" t="s">
        <v>647</v>
      </c>
      <c r="H2" s="55"/>
      <c r="I2" s="54"/>
      <c r="J2" s="54"/>
      <c r="K2" s="54"/>
      <c r="L2" s="55"/>
    </row>
    <row r="3" spans="1:12" x14ac:dyDescent="0.3">
      <c r="A3" s="124"/>
      <c r="B3" s="124"/>
      <c r="C3" s="50" t="s">
        <v>648</v>
      </c>
      <c r="D3" s="77">
        <v>2</v>
      </c>
      <c r="E3" s="50">
        <v>409</v>
      </c>
      <c r="F3" s="50"/>
      <c r="G3" s="54" t="s">
        <v>649</v>
      </c>
      <c r="H3" s="55"/>
      <c r="I3" s="54"/>
      <c r="J3" s="54"/>
      <c r="K3" s="54"/>
      <c r="L3" s="55"/>
    </row>
    <row r="4" spans="1:12" x14ac:dyDescent="0.3">
      <c r="A4" s="125"/>
      <c r="B4" s="125"/>
      <c r="C4" s="70" t="s">
        <v>650</v>
      </c>
      <c r="D4" s="78">
        <v>2</v>
      </c>
      <c r="E4" s="70">
        <v>770</v>
      </c>
      <c r="F4" s="70"/>
      <c r="G4" s="67" t="s">
        <v>651</v>
      </c>
      <c r="H4" s="66"/>
      <c r="I4" s="67"/>
      <c r="J4" s="67"/>
      <c r="K4" s="67"/>
      <c r="L4" s="66"/>
    </row>
    <row r="5" spans="1:12" x14ac:dyDescent="0.3">
      <c r="A5" s="69" t="s">
        <v>652</v>
      </c>
      <c r="B5" s="69" t="s">
        <v>653</v>
      </c>
      <c r="C5" s="70" t="s">
        <v>654</v>
      </c>
      <c r="D5" s="78">
        <v>2</v>
      </c>
      <c r="E5" s="70">
        <v>434</v>
      </c>
      <c r="F5" s="70"/>
      <c r="G5" s="67" t="s">
        <v>655</v>
      </c>
      <c r="H5" s="66"/>
      <c r="I5" s="67"/>
      <c r="J5" s="67"/>
      <c r="K5" s="67"/>
      <c r="L5" s="66"/>
    </row>
    <row r="6" spans="1:12" x14ac:dyDescent="0.3">
      <c r="A6" s="123" t="s">
        <v>656</v>
      </c>
      <c r="B6" s="123" t="s">
        <v>657</v>
      </c>
      <c r="C6" s="50" t="s">
        <v>658</v>
      </c>
      <c r="D6" s="73">
        <v>1</v>
      </c>
      <c r="E6" s="50">
        <v>22</v>
      </c>
      <c r="F6" s="50"/>
      <c r="G6" s="54" t="s">
        <v>659</v>
      </c>
      <c r="H6" s="55"/>
      <c r="I6" s="54"/>
      <c r="J6" s="54"/>
      <c r="K6" s="54"/>
      <c r="L6" s="55"/>
    </row>
    <row r="7" spans="1:12" x14ac:dyDescent="0.3">
      <c r="A7" s="124"/>
      <c r="B7" s="124"/>
      <c r="C7" s="50" t="s">
        <v>660</v>
      </c>
      <c r="D7" s="73">
        <v>1</v>
      </c>
      <c r="E7" s="50">
        <v>73</v>
      </c>
      <c r="F7" s="50"/>
      <c r="G7" s="54" t="s">
        <v>661</v>
      </c>
      <c r="H7" s="55"/>
      <c r="I7" s="54"/>
      <c r="J7" s="54"/>
      <c r="K7" s="54"/>
      <c r="L7" s="55"/>
    </row>
    <row r="8" spans="1:12" x14ac:dyDescent="0.3">
      <c r="A8" s="124"/>
      <c r="B8" s="124"/>
      <c r="C8" s="50" t="s">
        <v>662</v>
      </c>
      <c r="D8" s="73">
        <v>1</v>
      </c>
      <c r="E8" s="50">
        <v>98</v>
      </c>
      <c r="F8" s="50"/>
      <c r="G8" s="54" t="s">
        <v>663</v>
      </c>
      <c r="H8" s="55"/>
      <c r="I8" s="54"/>
      <c r="J8" s="54"/>
      <c r="K8" s="54"/>
      <c r="L8" s="55"/>
    </row>
    <row r="9" spans="1:12" x14ac:dyDescent="0.3">
      <c r="A9" s="124"/>
      <c r="B9" s="124"/>
      <c r="C9" s="50" t="s">
        <v>664</v>
      </c>
      <c r="D9" s="73">
        <v>1</v>
      </c>
      <c r="E9" s="50">
        <v>641</v>
      </c>
      <c r="F9" s="50"/>
      <c r="G9" s="54" t="s">
        <v>665</v>
      </c>
      <c r="H9" s="55"/>
      <c r="I9" s="54"/>
      <c r="J9" s="54"/>
      <c r="K9" s="54"/>
      <c r="L9" s="55"/>
    </row>
    <row r="10" spans="1:12" x14ac:dyDescent="0.3">
      <c r="A10" s="124"/>
      <c r="B10" s="124"/>
      <c r="C10" s="50" t="s">
        <v>666</v>
      </c>
      <c r="D10" s="73">
        <v>1</v>
      </c>
      <c r="E10" s="50">
        <v>78</v>
      </c>
      <c r="F10" s="50"/>
      <c r="G10" s="54" t="s">
        <v>667</v>
      </c>
      <c r="H10" s="55"/>
      <c r="I10" s="54"/>
      <c r="J10" s="54"/>
      <c r="K10" s="54"/>
      <c r="L10" s="55"/>
    </row>
    <row r="11" spans="1:12" x14ac:dyDescent="0.3">
      <c r="A11" s="125"/>
      <c r="B11" s="125"/>
      <c r="C11" s="70" t="s">
        <v>668</v>
      </c>
      <c r="D11" s="78">
        <v>2</v>
      </c>
      <c r="E11" s="70">
        <v>829</v>
      </c>
      <c r="F11" s="70"/>
      <c r="G11" s="67" t="s">
        <v>669</v>
      </c>
      <c r="H11" s="66"/>
      <c r="I11" s="67"/>
      <c r="J11" s="67"/>
      <c r="K11" s="67"/>
      <c r="L11" s="66"/>
    </row>
    <row r="12" spans="1:12" x14ac:dyDescent="0.3">
      <c r="A12" s="123" t="s">
        <v>670</v>
      </c>
      <c r="B12" s="123" t="s">
        <v>671</v>
      </c>
      <c r="C12" s="50" t="s">
        <v>672</v>
      </c>
      <c r="D12" s="73">
        <v>1</v>
      </c>
      <c r="E12" s="50">
        <v>552</v>
      </c>
      <c r="F12" s="50"/>
      <c r="G12" s="54" t="s">
        <v>673</v>
      </c>
      <c r="H12" s="55"/>
      <c r="I12" s="54"/>
      <c r="J12" s="54"/>
      <c r="K12" s="54"/>
      <c r="L12" s="55"/>
    </row>
    <row r="13" spans="1:12" x14ac:dyDescent="0.3">
      <c r="A13" s="125"/>
      <c r="B13" s="125"/>
      <c r="C13" s="70" t="s">
        <v>674</v>
      </c>
      <c r="D13" s="74">
        <v>1</v>
      </c>
      <c r="E13" s="70">
        <v>509</v>
      </c>
      <c r="F13" s="70"/>
      <c r="G13" s="67" t="s">
        <v>675</v>
      </c>
      <c r="H13" s="66"/>
      <c r="I13" s="67"/>
      <c r="J13" s="67"/>
      <c r="K13" s="67"/>
      <c r="L13" s="66"/>
    </row>
    <row r="14" spans="1:12" x14ac:dyDescent="0.3">
      <c r="A14" s="123" t="s">
        <v>676</v>
      </c>
      <c r="B14" s="123" t="s">
        <v>677</v>
      </c>
      <c r="C14" s="50" t="s">
        <v>678</v>
      </c>
      <c r="D14" s="73">
        <v>1</v>
      </c>
      <c r="E14" s="50">
        <v>552</v>
      </c>
      <c r="F14" s="50"/>
      <c r="G14" s="54" t="s">
        <v>679</v>
      </c>
      <c r="H14" s="55"/>
      <c r="I14" s="54"/>
      <c r="J14" s="54"/>
      <c r="K14" s="54"/>
      <c r="L14" s="55"/>
    </row>
    <row r="15" spans="1:12" x14ac:dyDescent="0.3">
      <c r="A15" s="125"/>
      <c r="B15" s="125"/>
      <c r="C15" s="70" t="s">
        <v>680</v>
      </c>
      <c r="D15" s="74">
        <v>1</v>
      </c>
      <c r="E15" s="70">
        <v>434</v>
      </c>
      <c r="F15" s="70"/>
      <c r="G15" s="67" t="s">
        <v>681</v>
      </c>
      <c r="H15" s="66"/>
      <c r="I15" s="67"/>
      <c r="J15" s="67"/>
      <c r="K15" s="67"/>
      <c r="L15" s="66"/>
    </row>
    <row r="16" spans="1:12" x14ac:dyDescent="0.3">
      <c r="A16" s="69" t="s">
        <v>682</v>
      </c>
      <c r="B16" s="69" t="s">
        <v>683</v>
      </c>
      <c r="C16" s="70" t="s">
        <v>684</v>
      </c>
      <c r="D16" s="74">
        <v>1</v>
      </c>
      <c r="E16" s="70">
        <v>918</v>
      </c>
      <c r="F16" s="70"/>
      <c r="G16" s="67" t="s">
        <v>685</v>
      </c>
      <c r="H16" s="66"/>
      <c r="I16" s="67"/>
      <c r="J16" s="67"/>
      <c r="K16" s="67"/>
      <c r="L16" s="66"/>
    </row>
  </sheetData>
  <mergeCells count="8">
    <mergeCell ref="A14:A15"/>
    <mergeCell ref="B14:B15"/>
    <mergeCell ref="A2:A4"/>
    <mergeCell ref="B2:B4"/>
    <mergeCell ref="A6:A11"/>
    <mergeCell ref="B6:B11"/>
    <mergeCell ref="A12:A13"/>
    <mergeCell ref="B12:B13"/>
  </mergeCells>
  <conditionalFormatting sqref="C2:C16 E2:G16 I2:K16">
    <cfRule type="expression" dxfId="40" priority="1">
      <formula>$L2="OUT OF SCOPE"</formula>
    </cfRule>
    <cfRule type="expression" dxfId="39" priority="2">
      <formula>$L2="NX-FRAME"</formula>
    </cfRule>
    <cfRule type="expression" dxfId="38" priority="3">
      <formula>$L2="APPLICATION"</formula>
    </cfRule>
    <cfRule type="expression" dxfId="37" priority="4">
      <formula>$L2="ENVIRONMENT"</formula>
    </cfRule>
  </conditionalFormatting>
  <conditionalFormatting sqref="C2:C16 E2:G16">
    <cfRule type="expression" dxfId="36" priority="5">
      <formula>$H2="Not Applicable"</formula>
    </cfRule>
  </conditionalFormatting>
  <conditionalFormatting sqref="H2:H16">
    <cfRule type="expression" dxfId="35" priority="6">
      <formula>_xludf.AND($H2&lt;&gt;"Not Applicable",$H2&lt;&gt;"Not-valid",$H2&lt;&gt;"Valid")</formula>
    </cfRule>
    <cfRule type="expression" dxfId="34" priority="7">
      <formula>$H2="Valid"</formula>
    </cfRule>
    <cfRule type="expression" dxfId="33" priority="8">
      <formula>$H2="Invalid"</formula>
    </cfRule>
    <cfRule type="expression" dxfId="32" priority="9">
      <formula>$H2="Not Applicable"</formula>
    </cfRule>
  </conditionalFormatting>
  <conditionalFormatting sqref="L2:L16">
    <cfRule type="expression" dxfId="31" priority="10">
      <formula>$L2="APPLICATION"</formula>
    </cfRule>
    <cfRule type="expression" dxfId="30" priority="11">
      <formula>$L2="ENVIRONMENT"</formula>
    </cfRule>
    <cfRule type="expression" dxfId="29" priority="12">
      <formula>$L2="NX-FRAME"</formula>
    </cfRule>
    <cfRule type="expression" dxfId="28" priority="13">
      <formula>$L2="OUT OF SCOPE"</formula>
    </cfRule>
  </conditionalFormatting>
  <dataValidations count="2">
    <dataValidation type="list" allowBlank="1" showErrorMessage="1" sqref="L2:L16" xr:uid="{00000000-0002-0000-0E00-000000000000}">
      <formula1>"NX-FRAME,APPLICATION,ENVIRONMENT,OUT OF SCOPE"</formula1>
    </dataValidation>
    <dataValidation type="list" allowBlank="1" showErrorMessage="1" sqref="H2:H16" xr:uid="{00000000-0002-0000-0E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6.5546875" customWidth="1"/>
    <col min="2" max="2" width="22.6640625" customWidth="1"/>
    <col min="3" max="3" width="6.5546875" customWidth="1"/>
    <col min="4" max="4" width="13.5546875" customWidth="1"/>
    <col min="5" max="5" width="8.109375" customWidth="1"/>
    <col min="6" max="6" width="8" customWidth="1"/>
    <col min="7" max="7" width="65.5546875" customWidth="1"/>
    <col min="8" max="8" width="8.44140625" customWidth="1"/>
    <col min="9" max="9" width="24.44140625" customWidth="1"/>
    <col min="10" max="11" width="12.6640625" customWidth="1"/>
    <col min="12" max="12" width="9.332031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686</v>
      </c>
      <c r="B2" s="127" t="s">
        <v>687</v>
      </c>
      <c r="C2" s="50" t="s">
        <v>688</v>
      </c>
      <c r="D2" s="73">
        <v>1</v>
      </c>
      <c r="E2" s="50">
        <v>116</v>
      </c>
      <c r="F2" s="50"/>
      <c r="G2" s="54" t="s">
        <v>689</v>
      </c>
      <c r="H2" s="55"/>
      <c r="I2" s="54"/>
      <c r="J2" s="54"/>
      <c r="K2" s="54"/>
      <c r="L2" s="55"/>
    </row>
    <row r="3" spans="1:12" x14ac:dyDescent="0.3">
      <c r="A3" s="124"/>
      <c r="B3" s="124"/>
      <c r="C3" s="50" t="s">
        <v>690</v>
      </c>
      <c r="D3" s="50"/>
      <c r="E3" s="50"/>
      <c r="F3" s="50"/>
      <c r="G3" s="54" t="s">
        <v>691</v>
      </c>
      <c r="H3" s="55"/>
      <c r="I3" s="54"/>
      <c r="J3" s="54"/>
      <c r="K3" s="54"/>
      <c r="L3" s="55"/>
    </row>
    <row r="4" spans="1:12" x14ac:dyDescent="0.3">
      <c r="A4" s="124"/>
      <c r="B4" s="124"/>
      <c r="C4" s="50" t="s">
        <v>692</v>
      </c>
      <c r="D4" s="73">
        <v>1</v>
      </c>
      <c r="E4" s="50">
        <v>598</v>
      </c>
      <c r="F4" s="50"/>
      <c r="G4" s="54" t="s">
        <v>693</v>
      </c>
      <c r="H4" s="55"/>
      <c r="I4" s="95"/>
      <c r="J4" s="54"/>
      <c r="K4" s="54"/>
      <c r="L4" s="55"/>
    </row>
    <row r="5" spans="1:12" x14ac:dyDescent="0.3">
      <c r="A5" s="124"/>
      <c r="B5" s="124"/>
      <c r="C5" s="50" t="s">
        <v>694</v>
      </c>
      <c r="D5" s="77">
        <v>2</v>
      </c>
      <c r="E5" s="50">
        <v>285</v>
      </c>
      <c r="F5" s="50"/>
      <c r="G5" s="54" t="s">
        <v>695</v>
      </c>
      <c r="H5" s="55"/>
      <c r="I5" s="54"/>
      <c r="J5" s="54"/>
      <c r="K5" s="54"/>
      <c r="L5" s="55"/>
    </row>
    <row r="6" spans="1:12" x14ac:dyDescent="0.3">
      <c r="A6" s="125"/>
      <c r="B6" s="125"/>
      <c r="C6" s="70" t="s">
        <v>696</v>
      </c>
      <c r="D6" s="78">
        <v>2</v>
      </c>
      <c r="E6" s="70">
        <v>434</v>
      </c>
      <c r="F6" s="70"/>
      <c r="G6" s="67" t="s">
        <v>697</v>
      </c>
      <c r="H6" s="66"/>
      <c r="I6" s="67"/>
      <c r="J6" s="67"/>
      <c r="K6" s="67"/>
      <c r="L6" s="66"/>
    </row>
    <row r="7" spans="1:12" x14ac:dyDescent="0.3">
      <c r="A7" s="123" t="s">
        <v>698</v>
      </c>
      <c r="B7" s="123" t="s">
        <v>699</v>
      </c>
      <c r="C7" s="50" t="s">
        <v>700</v>
      </c>
      <c r="D7" s="73">
        <v>1</v>
      </c>
      <c r="E7" s="50">
        <v>650</v>
      </c>
      <c r="F7" s="50"/>
      <c r="G7" s="54" t="s">
        <v>701</v>
      </c>
      <c r="H7" s="55"/>
      <c r="I7" s="96"/>
      <c r="J7" s="54"/>
      <c r="K7" s="54"/>
      <c r="L7" s="55"/>
    </row>
    <row r="8" spans="1:12" x14ac:dyDescent="0.3">
      <c r="A8" s="124"/>
      <c r="B8" s="124"/>
      <c r="C8" s="50" t="s">
        <v>702</v>
      </c>
      <c r="D8" s="73">
        <v>1</v>
      </c>
      <c r="E8" s="50">
        <v>20</v>
      </c>
      <c r="F8" s="50"/>
      <c r="G8" s="54" t="s">
        <v>703</v>
      </c>
      <c r="H8" s="55"/>
      <c r="I8" s="95"/>
      <c r="J8" s="54"/>
      <c r="K8" s="54"/>
      <c r="L8" s="55"/>
    </row>
    <row r="9" spans="1:12" x14ac:dyDescent="0.3">
      <c r="A9" s="124"/>
      <c r="B9" s="124"/>
      <c r="C9" s="50" t="s">
        <v>704</v>
      </c>
      <c r="D9" s="73">
        <v>1</v>
      </c>
      <c r="E9" s="50">
        <v>352</v>
      </c>
      <c r="F9" s="50"/>
      <c r="G9" s="54" t="s">
        <v>705</v>
      </c>
      <c r="H9" s="55"/>
      <c r="I9" s="105"/>
      <c r="J9" s="54"/>
      <c r="K9" s="54"/>
      <c r="L9" s="55"/>
    </row>
    <row r="10" spans="1:12" x14ac:dyDescent="0.3">
      <c r="A10" s="124"/>
      <c r="B10" s="124"/>
      <c r="C10" s="50" t="s">
        <v>706</v>
      </c>
      <c r="D10" s="50"/>
      <c r="E10" s="50"/>
      <c r="F10" s="50"/>
      <c r="G10" s="54" t="s">
        <v>707</v>
      </c>
      <c r="H10" s="55"/>
      <c r="I10" s="54"/>
      <c r="J10" s="54"/>
      <c r="K10" s="54"/>
      <c r="L10" s="55"/>
    </row>
    <row r="11" spans="1:12" x14ac:dyDescent="0.3">
      <c r="A11" s="124"/>
      <c r="B11" s="124"/>
      <c r="C11" s="50" t="s">
        <v>708</v>
      </c>
      <c r="D11" s="77">
        <v>2</v>
      </c>
      <c r="E11" s="50">
        <v>436</v>
      </c>
      <c r="F11" s="50"/>
      <c r="G11" s="54" t="s">
        <v>709</v>
      </c>
      <c r="H11" s="55"/>
      <c r="I11" s="54"/>
      <c r="J11" s="54"/>
      <c r="K11" s="54"/>
      <c r="L11" s="55"/>
    </row>
    <row r="12" spans="1:12" x14ac:dyDescent="0.3">
      <c r="A12" s="125"/>
      <c r="B12" s="125"/>
      <c r="C12" s="70" t="s">
        <v>710</v>
      </c>
      <c r="D12" s="78">
        <v>2</v>
      </c>
      <c r="E12" s="70">
        <v>345</v>
      </c>
      <c r="F12" s="70"/>
      <c r="G12" s="67" t="s">
        <v>711</v>
      </c>
      <c r="H12" s="66"/>
      <c r="I12" s="67"/>
      <c r="J12" s="67"/>
      <c r="K12" s="67"/>
      <c r="L12" s="66"/>
    </row>
    <row r="13" spans="1:12" x14ac:dyDescent="0.3">
      <c r="A13" s="123" t="s">
        <v>712</v>
      </c>
      <c r="B13" s="123" t="s">
        <v>713</v>
      </c>
      <c r="C13" s="50" t="s">
        <v>714</v>
      </c>
      <c r="D13" s="73">
        <v>1</v>
      </c>
      <c r="E13" s="50">
        <v>20</v>
      </c>
      <c r="F13" s="50"/>
      <c r="G13" s="54" t="s">
        <v>715</v>
      </c>
      <c r="H13" s="55"/>
      <c r="I13" s="54"/>
      <c r="J13" s="54"/>
      <c r="K13" s="54"/>
      <c r="L13" s="55"/>
    </row>
    <row r="14" spans="1:12" x14ac:dyDescent="0.3">
      <c r="A14" s="125"/>
      <c r="B14" s="125"/>
      <c r="C14" s="70" t="s">
        <v>716</v>
      </c>
      <c r="D14" s="78">
        <v>2</v>
      </c>
      <c r="E14" s="70">
        <v>345</v>
      </c>
      <c r="F14" s="70"/>
      <c r="G14" s="67" t="s">
        <v>717</v>
      </c>
      <c r="H14" s="66"/>
      <c r="I14" s="67"/>
      <c r="J14" s="67"/>
      <c r="K14" s="67"/>
      <c r="L14" s="66"/>
    </row>
    <row r="15" spans="1:12" x14ac:dyDescent="0.3">
      <c r="A15" s="123" t="s">
        <v>718</v>
      </c>
      <c r="B15" s="123" t="s">
        <v>719</v>
      </c>
      <c r="C15" s="50" t="s">
        <v>720</v>
      </c>
      <c r="D15" s="77">
        <v>2</v>
      </c>
      <c r="E15" s="50">
        <v>770</v>
      </c>
      <c r="F15" s="50"/>
      <c r="G15" s="54" t="s">
        <v>721</v>
      </c>
      <c r="H15" s="55"/>
      <c r="I15" s="54"/>
      <c r="J15" s="54"/>
      <c r="K15" s="54"/>
      <c r="L15" s="55"/>
    </row>
    <row r="16" spans="1:12" x14ac:dyDescent="0.3">
      <c r="A16" s="125"/>
      <c r="B16" s="125"/>
      <c r="C16" s="70" t="s">
        <v>722</v>
      </c>
      <c r="D16" s="78">
        <v>2</v>
      </c>
      <c r="E16" s="70">
        <v>285</v>
      </c>
      <c r="F16" s="70"/>
      <c r="G16" s="67" t="s">
        <v>723</v>
      </c>
      <c r="H16" s="66"/>
      <c r="I16" s="67"/>
      <c r="J16" s="67"/>
      <c r="K16" s="67"/>
      <c r="L16" s="66"/>
    </row>
  </sheetData>
  <autoFilter ref="C1:L16" xr:uid="{00000000-0009-0000-0000-00000F000000}"/>
  <mergeCells count="8">
    <mergeCell ref="A15:A16"/>
    <mergeCell ref="B15:B16"/>
    <mergeCell ref="A2:A6"/>
    <mergeCell ref="B2:B6"/>
    <mergeCell ref="A7:A12"/>
    <mergeCell ref="B7:B12"/>
    <mergeCell ref="A13:A14"/>
    <mergeCell ref="B13:B14"/>
  </mergeCells>
  <conditionalFormatting sqref="C2:C16 E2:G16 D3 D10 I2:K16">
    <cfRule type="expression" dxfId="27" priority="2">
      <formula>$L2="NX-FRAME"</formula>
    </cfRule>
  </conditionalFormatting>
  <conditionalFormatting sqref="C2:C16 E2:G16 D3 D10">
    <cfRule type="expression" dxfId="26" priority="1">
      <formula>$H2="Not Applicable"</formula>
    </cfRule>
  </conditionalFormatting>
  <conditionalFormatting sqref="C2:C16 E2:G16 I2:K16 D3 D10">
    <cfRule type="expression" dxfId="25" priority="3">
      <formula>$L2="APPLICATION"</formula>
    </cfRule>
    <cfRule type="expression" dxfId="24" priority="4">
      <formula>$L2="ENVIRONMENT"</formula>
    </cfRule>
  </conditionalFormatting>
  <conditionalFormatting sqref="H2:H16">
    <cfRule type="expression" dxfId="23" priority="5">
      <formula>_xludf.AND($H2&lt;&gt;"Not Applicable",$H2&lt;&gt;"Not-valid",$H2&lt;&gt;"Valid")</formula>
    </cfRule>
    <cfRule type="expression" dxfId="22" priority="6">
      <formula>$H2="Valid"</formula>
    </cfRule>
    <cfRule type="expression" dxfId="21" priority="7">
      <formula>$H2="Invalid"</formula>
    </cfRule>
    <cfRule type="expression" dxfId="20" priority="8">
      <formula>$H2="Not Applicable"</formula>
    </cfRule>
  </conditionalFormatting>
  <conditionalFormatting sqref="I4">
    <cfRule type="expression" dxfId="19" priority="9">
      <formula>$H4="Not Applicable"</formula>
    </cfRule>
  </conditionalFormatting>
  <conditionalFormatting sqref="I7:I9">
    <cfRule type="expression" dxfId="18" priority="10">
      <formula>$H7="Not Applicable"</formula>
    </cfRule>
  </conditionalFormatting>
  <conditionalFormatting sqref="I2:K16 C2:C16 E2:G16 D3 D10">
    <cfRule type="expression" dxfId="17" priority="11">
      <formula>$L2="OUT OF SCOPE"</formula>
    </cfRule>
  </conditionalFormatting>
  <conditionalFormatting sqref="L2:L16">
    <cfRule type="expression" dxfId="16" priority="12">
      <formula>$L2="APPLICATION"</formula>
    </cfRule>
    <cfRule type="expression" dxfId="15" priority="13">
      <formula>$L2="ENVIRONMENT"</formula>
    </cfRule>
    <cfRule type="expression" dxfId="14" priority="14">
      <formula>$L2="NX-FRAME"</formula>
    </cfRule>
    <cfRule type="expression" dxfId="13" priority="15">
      <formula>$L2="OUT OF SCOPE"</formula>
    </cfRule>
  </conditionalFormatting>
  <dataValidations count="2">
    <dataValidation type="list" allowBlank="1" showErrorMessage="1" sqref="L2:L16" xr:uid="{00000000-0002-0000-0F00-000000000000}">
      <formula1>"NX-FRAME,APPLICATION,ENVIRONMENT,OUT OF SCOPE"</formula1>
    </dataValidation>
    <dataValidation type="list" allowBlank="1" showErrorMessage="1" sqref="H2:H16" xr:uid="{00000000-0002-0000-0F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5" customHeight="1" x14ac:dyDescent="0.3"/>
  <cols>
    <col min="1" max="1" width="6.5546875" customWidth="1"/>
    <col min="2" max="2" width="17.88671875" customWidth="1"/>
    <col min="3" max="3" width="6.5546875" customWidth="1"/>
    <col min="4" max="4" width="13.5546875" customWidth="1"/>
    <col min="5" max="5" width="8.109375" customWidth="1"/>
    <col min="6" max="6" width="8" customWidth="1"/>
    <col min="7" max="7" width="70.44140625" customWidth="1"/>
    <col min="8" max="8" width="8.44140625" customWidth="1"/>
    <col min="9" max="9" width="24.44140625" customWidth="1"/>
    <col min="10" max="11" width="12.6640625" customWidth="1"/>
    <col min="12" max="12" width="9.33203125" customWidth="1"/>
  </cols>
  <sheetData>
    <row r="1" spans="1:12" x14ac:dyDescent="0.3">
      <c r="A1" s="82" t="s">
        <v>49</v>
      </c>
      <c r="B1" s="49" t="s">
        <v>50</v>
      </c>
      <c r="C1" s="49" t="s">
        <v>49</v>
      </c>
      <c r="D1" s="49" t="s">
        <v>51</v>
      </c>
      <c r="E1" s="49" t="s">
        <v>52</v>
      </c>
      <c r="F1" s="49" t="s">
        <v>53</v>
      </c>
      <c r="G1" s="49" t="s">
        <v>54</v>
      </c>
      <c r="H1" s="49" t="s">
        <v>22</v>
      </c>
      <c r="I1" s="49" t="s">
        <v>55</v>
      </c>
      <c r="J1" s="49" t="s">
        <v>56</v>
      </c>
      <c r="K1" s="49" t="s">
        <v>57</v>
      </c>
      <c r="L1" s="48" t="s">
        <v>58</v>
      </c>
    </row>
    <row r="2" spans="1:12" x14ac:dyDescent="0.3">
      <c r="A2" s="127" t="s">
        <v>724</v>
      </c>
      <c r="B2" s="127" t="s">
        <v>725</v>
      </c>
      <c r="C2" s="50" t="s">
        <v>726</v>
      </c>
      <c r="D2" s="77">
        <v>2</v>
      </c>
      <c r="E2" s="50"/>
      <c r="F2" s="50"/>
      <c r="G2" s="54" t="s">
        <v>727</v>
      </c>
      <c r="H2" s="55"/>
      <c r="I2" s="54"/>
      <c r="J2" s="54"/>
      <c r="K2" s="54"/>
      <c r="L2" s="55"/>
    </row>
    <row r="3" spans="1:12" x14ac:dyDescent="0.3">
      <c r="A3" s="124"/>
      <c r="B3" s="124"/>
      <c r="C3" s="50" t="s">
        <v>728</v>
      </c>
      <c r="D3" s="77">
        <v>2</v>
      </c>
      <c r="E3" s="50">
        <v>120</v>
      </c>
      <c r="F3" s="50"/>
      <c r="G3" s="54" t="s">
        <v>729</v>
      </c>
      <c r="H3" s="55"/>
      <c r="I3" s="54"/>
      <c r="J3" s="54"/>
      <c r="K3" s="54"/>
      <c r="L3" s="55"/>
    </row>
    <row r="4" spans="1:12" x14ac:dyDescent="0.3">
      <c r="A4" s="124"/>
      <c r="B4" s="124"/>
      <c r="C4" s="50" t="s">
        <v>730</v>
      </c>
      <c r="D4" s="77">
        <v>2</v>
      </c>
      <c r="E4" s="50">
        <v>16</v>
      </c>
      <c r="F4" s="50"/>
      <c r="G4" s="54" t="s">
        <v>731</v>
      </c>
      <c r="H4" s="55"/>
      <c r="I4" s="54"/>
      <c r="J4" s="54"/>
      <c r="K4" s="54"/>
      <c r="L4" s="55"/>
    </row>
    <row r="5" spans="1:12" x14ac:dyDescent="0.3">
      <c r="A5" s="124"/>
      <c r="B5" s="124"/>
      <c r="C5" s="50" t="s">
        <v>732</v>
      </c>
      <c r="D5" s="77">
        <v>2</v>
      </c>
      <c r="E5" s="50"/>
      <c r="F5" s="50"/>
      <c r="G5" s="54" t="s">
        <v>733</v>
      </c>
      <c r="H5" s="55"/>
      <c r="I5" s="54"/>
      <c r="J5" s="54"/>
      <c r="K5" s="54"/>
      <c r="L5" s="55"/>
    </row>
    <row r="6" spans="1:12" x14ac:dyDescent="0.3">
      <c r="A6" s="125"/>
      <c r="B6" s="125"/>
      <c r="C6" s="70" t="s">
        <v>734</v>
      </c>
      <c r="D6" s="92">
        <v>3</v>
      </c>
      <c r="E6" s="70"/>
      <c r="F6" s="70"/>
      <c r="G6" s="67" t="s">
        <v>735</v>
      </c>
      <c r="H6" s="66"/>
      <c r="I6" s="67"/>
      <c r="J6" s="67"/>
      <c r="K6" s="67"/>
      <c r="L6" s="106"/>
    </row>
    <row r="7" spans="1:12" x14ac:dyDescent="0.3">
      <c r="A7" s="123" t="s">
        <v>736</v>
      </c>
      <c r="B7" s="126" t="s">
        <v>737</v>
      </c>
      <c r="C7" s="50" t="s">
        <v>738</v>
      </c>
      <c r="D7" s="73">
        <v>1</v>
      </c>
      <c r="E7" s="50">
        <v>1026</v>
      </c>
      <c r="F7" s="50"/>
      <c r="G7" s="54" t="s">
        <v>739</v>
      </c>
      <c r="H7" s="55"/>
      <c r="I7" s="96"/>
      <c r="J7" s="54"/>
      <c r="K7" s="54"/>
      <c r="L7" s="55"/>
    </row>
    <row r="8" spans="1:12" x14ac:dyDescent="0.3">
      <c r="A8" s="124"/>
      <c r="B8" s="124"/>
      <c r="C8" s="50" t="s">
        <v>740</v>
      </c>
      <c r="D8" s="73">
        <v>1</v>
      </c>
      <c r="E8" s="50">
        <v>1002</v>
      </c>
      <c r="F8" s="50"/>
      <c r="G8" s="54" t="s">
        <v>741</v>
      </c>
      <c r="H8" s="55"/>
      <c r="I8" s="54"/>
      <c r="J8" s="79"/>
      <c r="K8" s="54"/>
      <c r="L8" s="55"/>
    </row>
    <row r="9" spans="1:12" x14ac:dyDescent="0.3">
      <c r="A9" s="124"/>
      <c r="B9" s="124"/>
      <c r="C9" s="50" t="s">
        <v>742</v>
      </c>
      <c r="D9" s="73">
        <v>1</v>
      </c>
      <c r="E9" s="50">
        <v>829</v>
      </c>
      <c r="F9" s="50"/>
      <c r="G9" s="54" t="s">
        <v>743</v>
      </c>
      <c r="H9" s="55"/>
      <c r="I9" s="54"/>
      <c r="J9" s="54"/>
      <c r="K9" s="54"/>
      <c r="L9" s="55"/>
    </row>
    <row r="10" spans="1:12" x14ac:dyDescent="0.3">
      <c r="A10" s="124"/>
      <c r="B10" s="124"/>
      <c r="C10" s="50" t="s">
        <v>744</v>
      </c>
      <c r="D10" s="77">
        <v>2</v>
      </c>
      <c r="E10" s="50">
        <v>829</v>
      </c>
      <c r="F10" s="50"/>
      <c r="G10" s="54" t="s">
        <v>745</v>
      </c>
      <c r="H10" s="55"/>
      <c r="I10" s="54"/>
      <c r="J10" s="54"/>
      <c r="K10" s="54"/>
      <c r="L10" s="55"/>
    </row>
    <row r="11" spans="1:12" x14ac:dyDescent="0.3">
      <c r="A11" s="124"/>
      <c r="B11" s="124"/>
      <c r="C11" s="50" t="s">
        <v>746</v>
      </c>
      <c r="D11" s="77">
        <v>2</v>
      </c>
      <c r="E11" s="50"/>
      <c r="F11" s="50"/>
      <c r="G11" s="54" t="s">
        <v>747</v>
      </c>
      <c r="H11" s="55"/>
      <c r="I11" s="54"/>
      <c r="J11" s="54"/>
      <c r="K11" s="54"/>
      <c r="L11" s="55"/>
    </row>
    <row r="12" spans="1:12" x14ac:dyDescent="0.3">
      <c r="A12" s="125"/>
      <c r="B12" s="125"/>
      <c r="C12" s="70" t="s">
        <v>748</v>
      </c>
      <c r="D12" s="78">
        <v>2</v>
      </c>
      <c r="E12" s="70">
        <v>265</v>
      </c>
      <c r="F12" s="70"/>
      <c r="G12" s="67" t="s">
        <v>749</v>
      </c>
      <c r="H12" s="66"/>
      <c r="I12" s="67"/>
      <c r="J12" s="67"/>
      <c r="K12" s="67"/>
      <c r="L12" s="66"/>
    </row>
    <row r="13" spans="1:12" x14ac:dyDescent="0.3">
      <c r="A13" s="123" t="s">
        <v>750</v>
      </c>
      <c r="B13" s="123" t="s">
        <v>751</v>
      </c>
      <c r="C13" s="50" t="s">
        <v>752</v>
      </c>
      <c r="D13" s="50"/>
      <c r="E13" s="50"/>
      <c r="F13" s="50"/>
      <c r="G13" s="54" t="s">
        <v>753</v>
      </c>
      <c r="H13" s="55"/>
      <c r="I13" s="54"/>
      <c r="J13" s="54"/>
      <c r="K13" s="54"/>
      <c r="L13" s="55"/>
    </row>
    <row r="14" spans="1:12" x14ac:dyDescent="0.3">
      <c r="A14" s="124"/>
      <c r="B14" s="124"/>
      <c r="C14" s="50" t="s">
        <v>754</v>
      </c>
      <c r="D14" s="73">
        <v>1</v>
      </c>
      <c r="E14" s="50">
        <v>497</v>
      </c>
      <c r="F14" s="50"/>
      <c r="G14" s="54" t="s">
        <v>755</v>
      </c>
      <c r="H14" s="55"/>
      <c r="I14" s="54"/>
      <c r="J14" s="54"/>
      <c r="K14" s="54"/>
      <c r="L14" s="55"/>
    </row>
    <row r="15" spans="1:12" x14ac:dyDescent="0.3">
      <c r="A15" s="125"/>
      <c r="B15" s="125"/>
      <c r="C15" s="70" t="s">
        <v>756</v>
      </c>
      <c r="D15" s="74">
        <v>1</v>
      </c>
      <c r="E15" s="70">
        <v>200</v>
      </c>
      <c r="F15" s="70"/>
      <c r="G15" s="67" t="s">
        <v>757</v>
      </c>
      <c r="H15" s="66"/>
      <c r="I15" s="67"/>
      <c r="J15" s="67"/>
      <c r="K15" s="67"/>
      <c r="L15" s="66"/>
    </row>
    <row r="16" spans="1:12" x14ac:dyDescent="0.3">
      <c r="A16" s="123" t="s">
        <v>758</v>
      </c>
      <c r="B16" s="123" t="s">
        <v>759</v>
      </c>
      <c r="C16" s="50" t="s">
        <v>760</v>
      </c>
      <c r="D16" s="73">
        <v>1</v>
      </c>
      <c r="E16" s="50">
        <v>173</v>
      </c>
      <c r="F16" s="50"/>
      <c r="G16" s="54" t="s">
        <v>761</v>
      </c>
      <c r="H16" s="55"/>
      <c r="I16" s="54"/>
      <c r="J16" s="54"/>
      <c r="K16" s="54"/>
      <c r="L16" s="55"/>
    </row>
    <row r="17" spans="1:12" x14ac:dyDescent="0.3">
      <c r="A17" s="124"/>
      <c r="B17" s="124"/>
      <c r="C17" s="50" t="s">
        <v>762</v>
      </c>
      <c r="D17" s="73">
        <v>1</v>
      </c>
      <c r="E17" s="50">
        <v>116</v>
      </c>
      <c r="F17" s="50"/>
      <c r="G17" s="54" t="s">
        <v>763</v>
      </c>
      <c r="H17" s="55"/>
      <c r="I17" s="54"/>
      <c r="J17" s="54"/>
      <c r="K17" s="54"/>
      <c r="L17" s="55"/>
    </row>
    <row r="18" spans="1:12" x14ac:dyDescent="0.3">
      <c r="A18" s="124"/>
      <c r="B18" s="124"/>
      <c r="C18" s="50" t="s">
        <v>764</v>
      </c>
      <c r="D18" s="73">
        <v>1</v>
      </c>
      <c r="E18" s="50">
        <v>1021</v>
      </c>
      <c r="F18" s="50"/>
      <c r="G18" s="54" t="s">
        <v>765</v>
      </c>
      <c r="H18" s="55"/>
      <c r="I18" s="54"/>
      <c r="J18" s="54"/>
      <c r="K18" s="54"/>
      <c r="L18" s="55"/>
    </row>
    <row r="19" spans="1:12" x14ac:dyDescent="0.3">
      <c r="A19" s="124"/>
      <c r="B19" s="124"/>
      <c r="C19" s="50" t="s">
        <v>766</v>
      </c>
      <c r="D19" s="73">
        <v>1</v>
      </c>
      <c r="E19" s="50">
        <v>116</v>
      </c>
      <c r="F19" s="50"/>
      <c r="G19" s="54" t="s">
        <v>767</v>
      </c>
      <c r="H19" s="55"/>
      <c r="I19" s="54"/>
      <c r="J19" s="54"/>
      <c r="K19" s="54"/>
      <c r="L19" s="55"/>
    </row>
    <row r="20" spans="1:12" x14ac:dyDescent="0.3">
      <c r="A20" s="124"/>
      <c r="B20" s="124"/>
      <c r="C20" s="50" t="s">
        <v>768</v>
      </c>
      <c r="D20" s="73">
        <v>1</v>
      </c>
      <c r="E20" s="50">
        <v>523</v>
      </c>
      <c r="F20" s="50"/>
      <c r="G20" s="54" t="s">
        <v>769</v>
      </c>
      <c r="H20" s="55"/>
      <c r="I20" s="54"/>
      <c r="J20" s="54"/>
      <c r="K20" s="54"/>
      <c r="L20" s="55"/>
    </row>
    <row r="21" spans="1:12" x14ac:dyDescent="0.3">
      <c r="A21" s="124"/>
      <c r="B21" s="124"/>
      <c r="C21" s="50" t="s">
        <v>770</v>
      </c>
      <c r="D21" s="73">
        <v>1</v>
      </c>
      <c r="E21" s="50">
        <v>116</v>
      </c>
      <c r="F21" s="50"/>
      <c r="G21" s="54" t="s">
        <v>771</v>
      </c>
      <c r="H21" s="55"/>
      <c r="I21" s="54"/>
      <c r="J21" s="54"/>
      <c r="K21" s="54"/>
      <c r="L21" s="55"/>
    </row>
    <row r="22" spans="1:12" x14ac:dyDescent="0.3">
      <c r="A22" s="125"/>
      <c r="B22" s="125"/>
      <c r="C22" s="70" t="s">
        <v>772</v>
      </c>
      <c r="D22" s="74">
        <v>1</v>
      </c>
      <c r="E22" s="70">
        <v>1021</v>
      </c>
      <c r="F22" s="70"/>
      <c r="G22" s="67" t="s">
        <v>773</v>
      </c>
      <c r="H22" s="66"/>
      <c r="I22" s="67"/>
      <c r="J22" s="67"/>
      <c r="K22" s="67"/>
      <c r="L22" s="66"/>
    </row>
    <row r="23" spans="1:12" x14ac:dyDescent="0.3">
      <c r="A23" s="123" t="s">
        <v>774</v>
      </c>
      <c r="B23" s="123" t="s">
        <v>775</v>
      </c>
      <c r="C23" s="50" t="s">
        <v>776</v>
      </c>
      <c r="D23" s="73">
        <v>1</v>
      </c>
      <c r="E23" s="50">
        <v>749</v>
      </c>
      <c r="F23" s="50"/>
      <c r="G23" s="54" t="s">
        <v>777</v>
      </c>
      <c r="H23" s="55"/>
      <c r="I23" s="96"/>
      <c r="J23" s="54"/>
      <c r="K23" s="54"/>
      <c r="L23" s="55"/>
    </row>
    <row r="24" spans="1:12" x14ac:dyDescent="0.3">
      <c r="A24" s="124"/>
      <c r="B24" s="124"/>
      <c r="C24" s="50" t="s">
        <v>778</v>
      </c>
      <c r="D24" s="73">
        <v>1</v>
      </c>
      <c r="E24" s="50">
        <v>346</v>
      </c>
      <c r="F24" s="50"/>
      <c r="G24" s="54" t="s">
        <v>779</v>
      </c>
      <c r="H24" s="55"/>
      <c r="I24" s="54"/>
      <c r="J24" s="54"/>
      <c r="K24" s="54"/>
      <c r="L24" s="55"/>
    </row>
    <row r="25" spans="1:12" x14ac:dyDescent="0.3">
      <c r="A25" s="124"/>
      <c r="B25" s="124"/>
      <c r="C25" s="50" t="s">
        <v>780</v>
      </c>
      <c r="D25" s="73">
        <v>1</v>
      </c>
      <c r="E25" s="50">
        <v>346</v>
      </c>
      <c r="F25" s="50"/>
      <c r="G25" s="54" t="s">
        <v>781</v>
      </c>
      <c r="H25" s="55"/>
      <c r="I25" s="54"/>
      <c r="J25" s="54"/>
      <c r="K25" s="54"/>
      <c r="L25" s="55"/>
    </row>
    <row r="26" spans="1:12" x14ac:dyDescent="0.3">
      <c r="A26" s="125"/>
      <c r="B26" s="125"/>
      <c r="C26" s="70" t="s">
        <v>782</v>
      </c>
      <c r="D26" s="78">
        <v>2</v>
      </c>
      <c r="E26" s="70">
        <v>306</v>
      </c>
      <c r="F26" s="70"/>
      <c r="G26" s="67" t="s">
        <v>783</v>
      </c>
      <c r="H26" s="66"/>
      <c r="I26" s="67"/>
      <c r="J26" s="67"/>
      <c r="K26" s="67"/>
      <c r="L26" s="66"/>
    </row>
  </sheetData>
  <autoFilter ref="C1:L26" xr:uid="{00000000-0009-0000-0000-000010000000}"/>
  <mergeCells count="10">
    <mergeCell ref="A16:A22"/>
    <mergeCell ref="A23:A26"/>
    <mergeCell ref="A2:A6"/>
    <mergeCell ref="B2:B6"/>
    <mergeCell ref="A7:A12"/>
    <mergeCell ref="B7:B12"/>
    <mergeCell ref="A13:A15"/>
    <mergeCell ref="B13:B15"/>
    <mergeCell ref="B16:B22"/>
    <mergeCell ref="B23:B26"/>
  </mergeCells>
  <conditionalFormatting sqref="C2:C26 E2:G26 D13 I2:K26">
    <cfRule type="expression" dxfId="12" priority="3">
      <formula>$L2="NX-FRAME"</formula>
    </cfRule>
  </conditionalFormatting>
  <conditionalFormatting sqref="C2:C26 E2:G26 D13">
    <cfRule type="expression" dxfId="11" priority="2">
      <formula>$H2="Not Applicable"</formula>
    </cfRule>
  </conditionalFormatting>
  <conditionalFormatting sqref="C2:C26 E2:G26 I2:K26 D13">
    <cfRule type="expression" dxfId="10" priority="1">
      <formula>$L2="OUT OF SCOPE"</formula>
    </cfRule>
    <cfRule type="expression" dxfId="9" priority="4">
      <formula>$L2="APPLICATION"</formula>
    </cfRule>
    <cfRule type="expression" dxfId="8" priority="5">
      <formula>$L2="ENVIRONMENT"</formula>
    </cfRule>
  </conditionalFormatting>
  <conditionalFormatting sqref="H2:H26">
    <cfRule type="expression" dxfId="7" priority="6">
      <formula>_xludf.AND($H2&lt;&gt;"Not Applicable",$H2&lt;&gt;"Not-valid",$H2&lt;&gt;"Valid")</formula>
    </cfRule>
    <cfRule type="expression" dxfId="6" priority="7">
      <formula>$H2="Valid"</formula>
    </cfRule>
    <cfRule type="expression" dxfId="5" priority="8">
      <formula>$H2="Invalid"</formula>
    </cfRule>
    <cfRule type="expression" dxfId="4" priority="9">
      <formula>$H2="Not Applicable"</formula>
    </cfRule>
  </conditionalFormatting>
  <conditionalFormatting sqref="L2:L26">
    <cfRule type="expression" dxfId="3" priority="10">
      <formula>$L2="APPLICATION"</formula>
    </cfRule>
    <cfRule type="expression" dxfId="2" priority="11">
      <formula>$L2="ENVIRONMENT"</formula>
    </cfRule>
    <cfRule type="expression" dxfId="1" priority="12">
      <formula>$L2="NX-FRAME"</formula>
    </cfRule>
    <cfRule type="expression" dxfId="0" priority="13">
      <formula>$L2="OUT OF SCOPE"</formula>
    </cfRule>
  </conditionalFormatting>
  <dataValidations count="2">
    <dataValidation type="list" allowBlank="1" showErrorMessage="1" sqref="L2:L26" xr:uid="{00000000-0002-0000-1000-000000000000}">
      <formula1>"NX-FRAME,APPLICATION,ENVIRONMENT,OUT OF SCOPE"</formula1>
    </dataValidation>
    <dataValidation type="list" allowBlank="1" showErrorMessage="1" sqref="H2:H26" xr:uid="{00000000-0002-0000-1000-000001000000}">
      <formula1>"Valid,Invalid,Not Applicable"</formula1>
    </dataValidation>
  </dataValidations>
  <pageMargins left="0.78749999999999998" right="0.78749999999999998" top="1.0249999999999999" bottom="1.0249999999999999" header="0" footer="0"/>
  <pageSetup orientation="landscape"/>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17</vt:i4>
      </vt:variant>
    </vt:vector>
  </HeadingPairs>
  <TitlesOfParts>
    <vt:vector size="17" baseType="lpstr">
      <vt:lpstr>Cover</vt:lpstr>
      <vt:lpstr>Results</vt:lpstr>
      <vt:lpstr>Usage</vt:lpstr>
      <vt:lpstr>V1 - Architecture, Design and T</vt:lpstr>
      <vt:lpstr>V2 - Authentication</vt:lpstr>
      <vt:lpstr>V3 - Session Management</vt:lpstr>
      <vt:lpstr>V4 - Access Control</vt:lpstr>
      <vt:lpstr>V5 - Validation, Sanitization a</vt:lpstr>
      <vt:lpstr>V6 - Stored Cryptography</vt:lpstr>
      <vt:lpstr>V7 - Error Handling and Logging</vt:lpstr>
      <vt:lpstr>V8 - Data Protection</vt:lpstr>
      <vt:lpstr>V9 - Communication</vt:lpstr>
      <vt:lpstr>V10 - Malicious Code</vt:lpstr>
      <vt:lpstr>V11 - Business Logic</vt:lpstr>
      <vt:lpstr>V12 - Files and Resources</vt:lpstr>
      <vt:lpstr>V13 - API and Web Service</vt:lpstr>
      <vt:lpstr>V14 - 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Rosalba Campolo</cp:lastModifiedBy>
  <dcterms:modified xsi:type="dcterms:W3CDTF">2026-08-25T08:39:02Z</dcterms:modified>
</cp:coreProperties>
</file>